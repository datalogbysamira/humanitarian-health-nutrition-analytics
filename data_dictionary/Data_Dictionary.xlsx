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Samira\Data\Projects\Humanitarian_Analytics_Project\data_dictionary\"/>
    </mc:Choice>
  </mc:AlternateContent>
  <xr:revisionPtr revIDLastSave="0" documentId="13_ncr:1_{37D99FEC-3852-44B8-BCEE-62473AB2C1F6}" xr6:coauthVersionLast="47" xr6:coauthVersionMax="47" xr10:uidLastSave="{00000000-0000-0000-0000-000000000000}"/>
  <bookViews>
    <workbookView xWindow="12432" yWindow="816" windowWidth="23016" windowHeight="13656" firstSheet="25" activeTab="27" xr2:uid="{6175193B-3E4D-4DFC-BCA3-367FD99DD2F7}"/>
  </bookViews>
  <sheets>
    <sheet name="Datasets" sheetId="1" r:id="rId1"/>
    <sheet name="Governorates" sheetId="2" r:id="rId2"/>
    <sheet name="Districts" sheetId="3" r:id="rId3"/>
    <sheet name="Departments" sheetId="4" r:id="rId4"/>
    <sheet name="Diagnoses" sheetId="5" r:id="rId5"/>
    <sheet name="Procedures" sheetId="6" r:id="rId6"/>
    <sheet name="Laboratory_Tests" sheetId="7" r:id="rId7"/>
    <sheet name="Medicines" sheetId="8" r:id="rId8"/>
    <sheet name="Vaccines" sheetId="9" r:id="rId9"/>
    <sheet name="Complaint_Categories" sheetId="10" r:id="rId10"/>
    <sheet name="Facilities" sheetId="13" r:id="rId11"/>
    <sheet name="Patients" sheetId="14" r:id="rId12"/>
    <sheet name="Staff" sheetId="15" r:id="rId13"/>
    <sheet name="Clinic_Visits" sheetId="16" r:id="rId14"/>
    <sheet name="Visit_Diagnoses" sheetId="17" r:id="rId15"/>
    <sheet name="Visit_Procedures" sheetId="18" r:id="rId16"/>
    <sheet name="Laboratory_Requests" sheetId="19" r:id="rId17"/>
    <sheet name="Pharmacy_Dispensing" sheetId="20" r:id="rId18"/>
    <sheet name="Vaccinations" sheetId="21" r:id="rId19"/>
    <sheet name="Nutrition_Screenings" sheetId="22" r:id="rId20"/>
    <sheet name="Nutrition_Followups" sheetId="23" r:id="rId21"/>
    <sheet name="Referrals" sheetId="24" r:id="rId22"/>
    <sheet name="Complaints" sheetId="25" r:id="rId23"/>
    <sheet name="Training_Records" sheetId="26" r:id="rId24"/>
    <sheet name="Medicine_Inventory" sheetId="27" r:id="rId25"/>
    <sheet name="Facility_Types" sheetId="28" r:id="rId26"/>
    <sheet name="Visit_Types" sheetId="29" r:id="rId27"/>
    <sheet name="Staff_Roles" sheetId="30" r:id="rId2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15" l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3" i="4"/>
  <c r="F4" i="4"/>
  <c r="F5" i="4"/>
  <c r="F6" i="4"/>
  <c r="F7" i="4"/>
  <c r="F2" i="4"/>
  <c r="F3" i="3"/>
  <c r="F4" i="3"/>
  <c r="F5" i="3"/>
  <c r="F6" i="3"/>
  <c r="F7" i="3"/>
  <c r="F8" i="3"/>
  <c r="F9" i="3"/>
  <c r="F2" i="3"/>
  <c r="A5" i="17"/>
  <c r="A9" i="17"/>
  <c r="A7" i="17"/>
  <c r="A3" i="17"/>
  <c r="A4" i="17"/>
  <c r="A8" i="17"/>
  <c r="A6" i="17"/>
  <c r="A2" i="17"/>
</calcChain>
</file>

<file path=xl/sharedStrings.xml><?xml version="1.0" encoding="utf-8"?>
<sst xmlns="http://schemas.openxmlformats.org/spreadsheetml/2006/main" count="1333" uniqueCount="695">
  <si>
    <t>Planned</t>
  </si>
  <si>
    <t>No</t>
  </si>
  <si>
    <t>vacacine_id</t>
  </si>
  <si>
    <t>vacacines</t>
  </si>
  <si>
    <t>Lookup</t>
  </si>
  <si>
    <t>Beneficiary complaints</t>
  </si>
  <si>
    <t>compliants_categories</t>
  </si>
  <si>
    <t>20,000–60,000</t>
  </si>
  <si>
    <t>Vaccine administrations</t>
  </si>
  <si>
    <t>Fact/transactional</t>
  </si>
  <si>
    <t>500–2,000</t>
  </si>
  <si>
    <t>Healthcare workers</t>
  </si>
  <si>
    <t>Master/Dimension</t>
  </si>
  <si>
    <t>5,000–15,000</t>
  </si>
  <si>
    <t>Patient referrals</t>
  </si>
  <si>
    <t>50–80</t>
  </si>
  <si>
    <t>Medical services</t>
  </si>
  <si>
    <t>80,000–150,000</t>
  </si>
  <si>
    <t>Medicines dispensed</t>
  </si>
  <si>
    <t>Patient master information</t>
  </si>
  <si>
    <t>40,000–80,000</t>
  </si>
  <si>
    <t>MUAC/BMI screening</t>
  </si>
  <si>
    <t>15,000–30,000</t>
  </si>
  <si>
    <t>Follow-up visits</t>
  </si>
  <si>
    <t>Medicine tyoe and nams</t>
  </si>
  <si>
    <t>Medicine stock</t>
  </si>
  <si>
    <t>60,000–120,000</t>
  </si>
  <si>
    <t>Requested lab tests</t>
  </si>
  <si>
    <t>lab tests</t>
  </si>
  <si>
    <t>80–200</t>
  </si>
  <si>
    <t>Hospitals, PHCs, Mobile Clinics</t>
  </si>
  <si>
    <t>health_facilities</t>
  </si>
  <si>
    <t>14–20</t>
  </si>
  <si>
    <t>Governorates</t>
  </si>
  <si>
    <t>100–200</t>
  </si>
  <si>
    <t>Districts</t>
  </si>
  <si>
    <t>Diagnosis lookup</t>
  </si>
  <si>
    <t>Clinics inside facilities</t>
  </si>
  <si>
    <t>2,000–5,000</t>
  </si>
  <si>
    <t>150,000–300,000</t>
  </si>
  <si>
    <t>All patient visits</t>
  </si>
  <si>
    <t>Status</t>
  </si>
  <si>
    <t>Generated</t>
  </si>
  <si>
    <t>FK</t>
  </si>
  <si>
    <t>PK</t>
  </si>
  <si>
    <t>Approx. Records</t>
  </si>
  <si>
    <t>Purpose</t>
  </si>
  <si>
    <t>Type</t>
  </si>
  <si>
    <t>Category</t>
  </si>
  <si>
    <t>Dataset</t>
  </si>
  <si>
    <t>facilities</t>
  </si>
  <si>
    <t>vaccines</t>
  </si>
  <si>
    <t>visit_diagnoses</t>
  </si>
  <si>
    <t>visit_procedures</t>
  </si>
  <si>
    <t>Visit detailed diagnoses</t>
  </si>
  <si>
    <t>Visit detailed procedures</t>
  </si>
  <si>
    <t>Module</t>
  </si>
  <si>
    <t>accountability</t>
  </si>
  <si>
    <t>demoghraphics</t>
  </si>
  <si>
    <t>healthcare</t>
  </si>
  <si>
    <t>healthcare_services</t>
  </si>
  <si>
    <t>hr</t>
  </si>
  <si>
    <t>logistics</t>
  </si>
  <si>
    <t>nutrition</t>
  </si>
  <si>
    <t>patient</t>
  </si>
  <si>
    <t>health</t>
  </si>
  <si>
    <t>pharmacy</t>
  </si>
  <si>
    <t>complaint_id</t>
  </si>
  <si>
    <t>categories_id</t>
  </si>
  <si>
    <t>district_id</t>
  </si>
  <si>
    <t>governorate_id</t>
  </si>
  <si>
    <t>facility_id</t>
  </si>
  <si>
    <t>department_id</t>
  </si>
  <si>
    <t>visit_id</t>
  </si>
  <si>
    <t>diagnose_id</t>
  </si>
  <si>
    <t>tests_id</t>
  </si>
  <si>
    <t>lab_requests_id</t>
  </si>
  <si>
    <t>ph_dispensing_id</t>
  </si>
  <si>
    <t>procedure_id</t>
  </si>
  <si>
    <t>referral_id</t>
  </si>
  <si>
    <t>vaccination_id, patient_id</t>
  </si>
  <si>
    <t>visit_diagnose_id</t>
  </si>
  <si>
    <t>visit_procedure_id</t>
  </si>
  <si>
    <t>staff_id</t>
  </si>
  <si>
    <t>inventory_id</t>
  </si>
  <si>
    <t>medicine_id</t>
  </si>
  <si>
    <t>nutrition_followup_id</t>
  </si>
  <si>
    <t>nutrition_screening_id</t>
  </si>
  <si>
    <t>patient_id</t>
  </si>
  <si>
    <t>categories_id,  patient_id</t>
  </si>
  <si>
    <t/>
  </si>
  <si>
    <t>visit_id
patient_id
test_id
staff_id
facility_id</t>
  </si>
  <si>
    <t>visit_id patient_id medicine_id staff_id facility_id</t>
  </si>
  <si>
    <t>patient_id, visit_id</t>
  </si>
  <si>
    <t>facility_id staff_id visit_id</t>
  </si>
  <si>
    <t>visit_id, diagnose_id</t>
  </si>
  <si>
    <t>visit_id,procedure_id</t>
  </si>
  <si>
    <t xml:space="preserve">medicine_id, facility_id </t>
  </si>
  <si>
    <t>patient_id, nutrition_screening_id</t>
  </si>
  <si>
    <t>Stores staff training history (course, date, trainer, completion status, score, certificate expiry)</t>
  </si>
  <si>
    <t>training_ID</t>
  </si>
  <si>
    <t>staff_id, facility_id</t>
  </si>
  <si>
    <t>complaints</t>
  </si>
  <si>
    <t>districts</t>
  </si>
  <si>
    <t>governorates</t>
  </si>
  <si>
    <t>departments</t>
  </si>
  <si>
    <t>clinic_visits</t>
  </si>
  <si>
    <t>diagnoses</t>
  </si>
  <si>
    <t>laboratory tests</t>
  </si>
  <si>
    <t>laboratory_requests</t>
  </si>
  <si>
    <t>pharmacy_dispensing</t>
  </si>
  <si>
    <t>procedures</t>
  </si>
  <si>
    <t>referrals</t>
  </si>
  <si>
    <t>vaccinations</t>
  </si>
  <si>
    <t>staff</t>
  </si>
  <si>
    <t>medicine_inventory</t>
  </si>
  <si>
    <t>medicines</t>
  </si>
  <si>
    <t>nutrition_followups</t>
  </si>
  <si>
    <t>nutrition_screenings</t>
  </si>
  <si>
    <t>patients</t>
  </si>
  <si>
    <t>training_records</t>
  </si>
  <si>
    <t>Column</t>
  </si>
  <si>
    <t>Data Type</t>
  </si>
  <si>
    <t>Description</t>
  </si>
  <si>
    <t>Allowed Values / Example</t>
  </si>
  <si>
    <t>Governorate_ID</t>
  </si>
  <si>
    <t>Integer</t>
  </si>
  <si>
    <t>Unique governorate identifier</t>
  </si>
  <si>
    <t>1, 2, 3...</t>
  </si>
  <si>
    <t>String</t>
  </si>
  <si>
    <t>Governorate name</t>
  </si>
  <si>
    <t>Aleppo, Idlib, Hama</t>
  </si>
  <si>
    <t>Country name</t>
  </si>
  <si>
    <t>Syria</t>
  </si>
  <si>
    <t>Categorical</t>
  </si>
  <si>
    <t>Geographic region</t>
  </si>
  <si>
    <t>North, South, East, West, Central</t>
  </si>
  <si>
    <t>Estimated population</t>
  </si>
  <si>
    <t>Decimal</t>
  </si>
  <si>
    <t>Governorate area in square kilometers</t>
  </si>
  <si>
    <t>Dominant settlement type</t>
  </si>
  <si>
    <t>Urban, Rural, Mixed</t>
  </si>
  <si>
    <t>Is_Active</t>
  </si>
  <si>
    <t>Boolean</t>
  </si>
  <si>
    <t>Governorate available in project</t>
  </si>
  <si>
    <t>District_ID</t>
  </si>
  <si>
    <t>Unique district identifier</t>
  </si>
  <si>
    <t>Integer (FK)</t>
  </si>
  <si>
    <t>Parent governorate</t>
  </si>
  <si>
    <t>District name</t>
  </si>
  <si>
    <t>Afrin</t>
  </si>
  <si>
    <t>Estimated district population</t>
  </si>
  <si>
    <t>District area</t>
  </si>
  <si>
    <t>Latitude</t>
  </si>
  <si>
    <t>District center latitude</t>
  </si>
  <si>
    <t>Longitude</t>
  </si>
  <si>
    <t>District center longitude</t>
  </si>
  <si>
    <t>District status</t>
  </si>
  <si>
    <t>Unique department identifier</t>
  </si>
  <si>
    <t>Clinical department name</t>
  </si>
  <si>
    <t>Pediatrics</t>
  </si>
  <si>
    <t>Healthcare service category</t>
  </si>
  <si>
    <t>Medical, Surgical, Diagnostic, Support</t>
  </si>
  <si>
    <t>Facility_Type</t>
  </si>
  <si>
    <t>Brief department description</t>
  </si>
  <si>
    <t>Child healthcare services</t>
  </si>
  <si>
    <t>Department status</t>
  </si>
  <si>
    <t>Unique diagnosis identifier</t>
  </si>
  <si>
    <t>J18.9</t>
  </si>
  <si>
    <t>Pneumonia</t>
  </si>
  <si>
    <t>Related clinical department</t>
  </si>
  <si>
    <t>Disease classification</t>
  </si>
  <si>
    <t>Clinical severity</t>
  </si>
  <si>
    <t>Mild, Moderate, Severe</t>
  </si>
  <si>
    <t>Internal procedure code</t>
  </si>
  <si>
    <t>PROC0210</t>
  </si>
  <si>
    <t>Medical procedure</t>
  </si>
  <si>
    <t>Wound Dressing</t>
  </si>
  <si>
    <t>Department performing the procedure</t>
  </si>
  <si>
    <t>Procedure classification</t>
  </si>
  <si>
    <t>Consultation, Surgery, Laboratory, Imaging</t>
  </si>
  <si>
    <t>Average completion time</t>
  </si>
  <si>
    <t>Procedure availability</t>
  </si>
  <si>
    <t>Unique laboratory test identifier</t>
  </si>
  <si>
    <t>Laboratory test name</t>
  </si>
  <si>
    <t>Complete Blood Count</t>
  </si>
  <si>
    <t>Laboratory discipline</t>
  </si>
  <si>
    <t>Hematology, Chemistry, Microbiology</t>
  </si>
  <si>
    <t>Measurement unit</t>
  </si>
  <si>
    <t>g/dL</t>
  </si>
  <si>
    <t>Reference range</t>
  </si>
  <si>
    <t>12–16</t>
  </si>
  <si>
    <t>Average turnaround time</t>
  </si>
  <si>
    <t>Test availability</t>
  </si>
  <si>
    <t>Unique medicine identifier</t>
  </si>
  <si>
    <t>Generic medicine name</t>
  </si>
  <si>
    <t>Amoxicillin</t>
  </si>
  <si>
    <t>Commercial brand</t>
  </si>
  <si>
    <t>Amoxil</t>
  </si>
  <si>
    <t>Drug class</t>
  </si>
  <si>
    <t>Antibiotic</t>
  </si>
  <si>
    <t>Pharmaceutical form</t>
  </si>
  <si>
    <t>Tablet, Syrup, Injection</t>
  </si>
  <si>
    <t>Drug strength</t>
  </si>
  <si>
    <t>500 mg</t>
  </si>
  <si>
    <t>Dispensing unit</t>
  </si>
  <si>
    <t>Tablet</t>
  </si>
  <si>
    <t>Prescription requirement</t>
  </si>
  <si>
    <t>Medicine availability</t>
  </si>
  <si>
    <t>Unique vaccine identifier</t>
  </si>
  <si>
    <t>Vaccine name</t>
  </si>
  <si>
    <t>BCG</t>
  </si>
  <si>
    <t>Disease prevented</t>
  </si>
  <si>
    <t>Tuberculosis</t>
  </si>
  <si>
    <t>Recommended age</t>
  </si>
  <si>
    <t>Birth, Under 5, Adult</t>
  </si>
  <si>
    <t>Required doses</t>
  </si>
  <si>
    <t>Vaccine manufacturer</t>
  </si>
  <si>
    <t>UNICEF Supply</t>
  </si>
  <si>
    <t>Vaccine availability</t>
  </si>
  <si>
    <t>Unique complaint category identifier</t>
  </si>
  <si>
    <t>Complaint category</t>
  </si>
  <si>
    <t>Staff Behavior</t>
  </si>
  <si>
    <t>Complaint classification</t>
  </si>
  <si>
    <t>Service, Protection, PSEA, Suggestion, Feedback</t>
  </si>
  <si>
    <t>Response priority</t>
  </si>
  <si>
    <t>Low, Medium, High, Critical</t>
  </si>
  <si>
    <t>Target resolution time</t>
  </si>
  <si>
    <t>Confidential complaint indicator</t>
  </si>
  <si>
    <t>Category availability</t>
  </si>
  <si>
    <t>Facility_ID</t>
  </si>
  <si>
    <t>Unique healthcare facility identifier</t>
  </si>
  <si>
    <t>Facility_Name</t>
  </si>
  <si>
    <t>Official healthcare facility name</t>
  </si>
  <si>
    <t>Afrin PHC</t>
  </si>
  <si>
    <t>Type of healthcare facility</t>
  </si>
  <si>
    <t>Hospital, PHC, Mobile Clinic, Nutrition Center</t>
  </si>
  <si>
    <t>Governorate where the facility is located</t>
  </si>
  <si>
    <t>District where the facility is located</t>
  </si>
  <si>
    <t>Geographic latitude</t>
  </si>
  <si>
    <t>Geographic longitude</t>
  </si>
  <si>
    <t>Catchment_Population</t>
  </si>
  <si>
    <t>Population served by the facility</t>
  </si>
  <si>
    <t>Daily_Capacity</t>
  </si>
  <si>
    <t>Maximum patients served per day</t>
  </si>
  <si>
    <t>Opening_Date</t>
  </si>
  <si>
    <t>Date</t>
  </si>
  <si>
    <t>Date facility started operations</t>
  </si>
  <si>
    <t>Ownership</t>
  </si>
  <si>
    <t>Facility ownership</t>
  </si>
  <si>
    <t>NGO, Government, Private</t>
  </si>
  <si>
    <t>Operational_Status</t>
  </si>
  <si>
    <t>Current operating status</t>
  </si>
  <si>
    <t>Active, Suspended, Closed</t>
  </si>
  <si>
    <t>Indicates whether the facility is active</t>
  </si>
  <si>
    <t>Unique patient identifier</t>
  </si>
  <si>
    <t>National or project registration number</t>
  </si>
  <si>
    <t>PAT-2026-000001</t>
  </si>
  <si>
    <t>Patient first name</t>
  </si>
  <si>
    <t>Ahmad</t>
  </si>
  <si>
    <t>Patient surname</t>
  </si>
  <si>
    <t>Al-Hassan</t>
  </si>
  <si>
    <t>Patient gender</t>
  </si>
  <si>
    <t>Male, Female</t>
  </si>
  <si>
    <t>Patient birth date</t>
  </si>
  <si>
    <t>Calculated age in years</t>
  </si>
  <si>
    <t>Patient age category</t>
  </si>
  <si>
    <t>0–5, 6–17, 18–64, 65+</t>
  </si>
  <si>
    <t>Pregnancy status</t>
  </si>
  <si>
    <t>Pregnant, Not Pregnant, Not Applicable</t>
  </si>
  <si>
    <t>Indicates disability</t>
  </si>
  <si>
    <t>True, False</t>
  </si>
  <si>
    <t>Patient nationality</t>
  </si>
  <si>
    <t>Syrian, Turkish, Iraqi, Palestinian, Afghan</t>
  </si>
  <si>
    <t>Patient governorate</t>
  </si>
  <si>
    <t>Patient district</t>
  </si>
  <si>
    <t>Contact phone number</t>
  </si>
  <si>
    <t>+9639XXXXXXXX</t>
  </si>
  <si>
    <t>First registration date</t>
  </si>
  <si>
    <t>Facility where patient was first registered</t>
  </si>
  <si>
    <t>Active patient record</t>
  </si>
  <si>
    <t>Unique staff identifier</t>
  </si>
  <si>
    <t>Staff first name</t>
  </si>
  <si>
    <t>Fatima</t>
  </si>
  <si>
    <t>Staff surname</t>
  </si>
  <si>
    <t>Ali</t>
  </si>
  <si>
    <t>Staff gender</t>
  </si>
  <si>
    <t>Staff birth date</t>
  </si>
  <si>
    <t>Staff age</t>
  </si>
  <si>
    <t>Staff nationality</t>
  </si>
  <si>
    <t>Syrian, Turkish</t>
  </si>
  <si>
    <t>Staff position</t>
  </si>
  <si>
    <t>Doctor, Nurse, Nutritionist, Pharmacist, Lab Technician, Midwife, Data Clerk, MEAL Officer, Administrator</t>
  </si>
  <si>
    <t>Assigned department</t>
  </si>
  <si>
    <t>Assigned facility</t>
  </si>
  <si>
    <t>Employment contract</t>
  </si>
  <si>
    <t>Full-time, Part-time, Volunteer, Consultant</t>
  </si>
  <si>
    <t>Employment start date</t>
  </si>
  <si>
    <t>Professional experience</t>
  </si>
  <si>
    <t>Current employment status</t>
  </si>
  <si>
    <t>Active, On Leave, Resigned</t>
  </si>
  <si>
    <t>Indicates active employee</t>
  </si>
  <si>
    <t>Unique visit identifier</t>
  </si>
  <si>
    <t>Patient attending the visit</t>
  </si>
  <si>
    <t>Healthcare facility providing the service</t>
  </si>
  <si>
    <t>Department visited</t>
  </si>
  <si>
    <t>Primary healthcare provider</t>
  </si>
  <si>
    <t>Date of the visit</t>
  </si>
  <si>
    <t>Time</t>
  </si>
  <si>
    <t>Time of patient registration</t>
  </si>
  <si>
    <t>Type of healthcare visit</t>
  </si>
  <si>
    <t>Outpatient, Inpatient, Emergency, Follow-up</t>
  </si>
  <si>
    <t>Chief complaint / reason for visit</t>
  </si>
  <si>
    <t>Fever</t>
  </si>
  <si>
    <t>Final visit status</t>
  </si>
  <si>
    <t>Completed, Cancelled, No Show</t>
  </si>
  <si>
    <t>Waiting time before consultation</t>
  </si>
  <si>
    <t>Consultation duration</t>
  </si>
  <si>
    <t>Referral generated during visit</t>
  </si>
  <si>
    <t>Follow-up visit required</t>
  </si>
  <si>
    <t>Estimated visit cost</t>
  </si>
  <si>
    <t>Visit outcome</t>
  </si>
  <si>
    <t>Treated, Referred, Admitted, Follow-up, Deceased</t>
  </si>
  <si>
    <t>DateTime</t>
  </si>
  <si>
    <t>Record creation timestamp</t>
  </si>
  <si>
    <t>Unique diagnosis record identifier</t>
  </si>
  <si>
    <t>Related clinic visit</t>
  </si>
  <si>
    <t>Assigned diagnosis</t>
  </si>
  <si>
    <t>Classification of diagnosis</t>
  </si>
  <si>
    <t>Primary, Secondary</t>
  </si>
  <si>
    <t>Order of diagnosis</t>
  </si>
  <si>
    <t>Diagnosis confirmation status</t>
  </si>
  <si>
    <t>Date diagnosis was recorded</t>
  </si>
  <si>
    <t>Unique procedure record identifier</t>
  </si>
  <si>
    <t>Medical procedure performed</t>
  </si>
  <si>
    <t>Staff member performing the procedure</t>
  </si>
  <si>
    <t>Date procedure was performed</t>
  </si>
  <si>
    <t>Procedure completion status</t>
  </si>
  <si>
    <t>Completed, Cancelled, Scheduled</t>
  </si>
  <si>
    <t>Procedure duration</t>
  </si>
  <si>
    <t>Procedure outcome</t>
  </si>
  <si>
    <t>Successful, Partially Completed, Failed</t>
  </si>
  <si>
    <t>Unique laboratory request identifier</t>
  </si>
  <si>
    <t>Patient requiring the test</t>
  </si>
  <si>
    <t>Requested laboratory test</t>
  </si>
  <si>
    <t>Facility performing the test</t>
  </si>
  <si>
    <t>Requesting healthcare provider</t>
  </si>
  <si>
    <t>Date the test was requested</t>
  </si>
  <si>
    <t>Type of specimen collected</t>
  </si>
  <si>
    <t>Blood, Urine, Stool, Sputum</t>
  </si>
  <si>
    <t>Request priority</t>
  </si>
  <si>
    <t>Routine, Urgent, Emergency</t>
  </si>
  <si>
    <t>Laboratory result status</t>
  </si>
  <si>
    <t>Pending, Completed, Cancelled</t>
  </si>
  <si>
    <t>Date result became available</t>
  </si>
  <si>
    <t>Hours between request and result</t>
  </si>
  <si>
    <t>Unique dispensing record</t>
  </si>
  <si>
    <t>Patient receiving medicine</t>
  </si>
  <si>
    <t>Dispensed medicine</t>
  </si>
  <si>
    <t>Dispensing facility</t>
  </si>
  <si>
    <t>Pharmacist dispensing medicine</t>
  </si>
  <si>
    <t>Dispensing date</t>
  </si>
  <si>
    <t>Quantity dispensed</t>
  </si>
  <si>
    <t>Tablet, Bottle, Vial</t>
  </si>
  <si>
    <t>Prescribed dosage</t>
  </si>
  <si>
    <t>500 mg twice daily</t>
  </si>
  <si>
    <t>Dispensing status</t>
  </si>
  <si>
    <t>Dispensed, Partially Dispensed, Not Available</t>
  </si>
  <si>
    <t>Unique vaccination record</t>
  </si>
  <si>
    <t>Vaccinated patient</t>
  </si>
  <si>
    <t>Administered vaccine</t>
  </si>
  <si>
    <t>Vaccination facility</t>
  </si>
  <si>
    <t>Vaccinator</t>
  </si>
  <si>
    <t>Date vaccine administered</t>
  </si>
  <si>
    <t>Vaccine dose sequence</t>
  </si>
  <si>
    <t>Vaccine batch number</t>
  </si>
  <si>
    <t>BCG240315</t>
  </si>
  <si>
    <t>Administration status</t>
  </si>
  <si>
    <t>Completed, Deferred, Contraindicated</t>
  </si>
  <si>
    <t>Adverse event reported</t>
  </si>
  <si>
    <t>Unique screening identifier</t>
  </si>
  <si>
    <t>Screened patient</t>
  </si>
  <si>
    <t>Screening facility</t>
  </si>
  <si>
    <t>Nutrition staff</t>
  </si>
  <si>
    <t>Date of screening</t>
  </si>
  <si>
    <t>Mid-upper arm circumference</t>
  </si>
  <si>
    <t>Patient weight</t>
  </si>
  <si>
    <t>Patient height</t>
  </si>
  <si>
    <t>Body Mass Index</t>
  </si>
  <si>
    <t>Screening outcome</t>
  </si>
  <si>
    <t>Normal, MAM, SAM, Overweight</t>
  </si>
  <si>
    <t>Bilateral edema present</t>
  </si>
  <si>
    <t>Unique follow-up identifier</t>
  </si>
  <si>
    <t>Initial screening record</t>
  </si>
  <si>
    <t>Follow-up patient</t>
  </si>
  <si>
    <t>Follow-up visit date</t>
  </si>
  <si>
    <t>Sequential follow-up number</t>
  </si>
  <si>
    <t>Updated weight</t>
  </si>
  <si>
    <t>Updated MUAC</t>
  </si>
  <si>
    <t>Current nutrition status</t>
  </si>
  <si>
    <t>SAM, MAM, Recovered</t>
  </si>
  <si>
    <t>Follow-up outcome</t>
  </si>
  <si>
    <t>Improved, Recovered, Defaulted, Referred</t>
  </si>
  <si>
    <t>Scheduled next follow-up</t>
  </si>
  <si>
    <t>Unique referral identifier</t>
  </si>
  <si>
    <t>Referred patient</t>
  </si>
  <si>
    <t>Referring facility</t>
  </si>
  <si>
    <t>Receiving facility</t>
  </si>
  <si>
    <t>Referral date</t>
  </si>
  <si>
    <t>Reason for referral</t>
  </si>
  <si>
    <t>Specialist, Surgery, Laboratory, Imaging</t>
  </si>
  <si>
    <t>Referral progress</t>
  </si>
  <si>
    <t>Final referral result</t>
  </si>
  <si>
    <t>Completed, Did Not Attend, Referred Back</t>
  </si>
  <si>
    <t>Unique complaint identifier</t>
  </si>
  <si>
    <t>Complainant (if applicable)</t>
  </si>
  <si>
    <t>Facility concerned</t>
  </si>
  <si>
    <t>Open, Under Investigation, Resolved, Closed</t>
  </si>
  <si>
    <t>4 (1–5)</t>
  </si>
  <si>
    <t>Unique training record</t>
  </si>
  <si>
    <t>Staff member attending</t>
  </si>
  <si>
    <t>Staff facility</t>
  </si>
  <si>
    <t>Course name</t>
  </si>
  <si>
    <t>Infection Prevention &amp; Control</t>
  </si>
  <si>
    <t>Training type</t>
  </si>
  <si>
    <t>Clinical, Nutrition, MEAL, PSEA, IT</t>
  </si>
  <si>
    <t>Date training completed</t>
  </si>
  <si>
    <t>Trainer or organization</t>
  </si>
  <si>
    <t>SAMS Foundation</t>
  </si>
  <si>
    <t>Completion result</t>
  </si>
  <si>
    <t>Completed, In Progress, Not Completed</t>
  </si>
  <si>
    <t>Assessment score (%)</t>
  </si>
  <si>
    <t>Certificate expiration</t>
  </si>
  <si>
    <t>Unique inventory record</t>
  </si>
  <si>
    <t>Facility storing the medicine</t>
  </si>
  <si>
    <t>Stored medicine</t>
  </si>
  <si>
    <t>Manufacturer batch number</t>
  </si>
  <si>
    <t>AMX240301</t>
  </si>
  <si>
    <t>Expiration date</t>
  </si>
  <si>
    <t>Quantity received</t>
  </si>
  <si>
    <t>Current available quantity</t>
  </si>
  <si>
    <t>Minimum stock threshold</t>
  </si>
  <si>
    <t>Inventory status</t>
  </si>
  <si>
    <t>In Stock, Low Stock, Stock-out, Expired</t>
  </si>
  <si>
    <t>Last inventory update</t>
  </si>
  <si>
    <t>Date complaint was received</t>
  </si>
  <si>
    <t>How the complaint was submitted</t>
  </si>
  <si>
    <t>Hotline, Suggestion Box, In Person, WhatsApp, Email</t>
  </si>
  <si>
    <t>Short summary of the complaint</t>
  </si>
  <si>
    <t>"Long waiting time"</t>
  </si>
  <si>
    <t>Text</t>
  </si>
  <si>
    <t>Detailed description provided by the beneficiary</t>
  </si>
  <si>
    <t>"I waited more than 3 hours before seeing the doctor."</t>
  </si>
  <si>
    <t>Priority assigned during triage</t>
  </si>
  <si>
    <t>Staff member responsible for handling the complaint</t>
  </si>
  <si>
    <t>Current complaint status</t>
  </si>
  <si>
    <t>Actions taken to resolve the complaint</t>
  </si>
  <si>
    <t>"Investigated queue management and adjusted staffing."</t>
  </si>
  <si>
    <t>Date complaint was resolved</t>
  </si>
  <si>
    <t>Number of days to resolve the complaint</t>
  </si>
  <si>
    <t>Beneficiary satisfaction score after resolution</t>
  </si>
  <si>
    <t>Indicates whether follow-up is needed</t>
  </si>
  <si>
    <t>Indicates confidential handling (e.g., PSEA cases)</t>
  </si>
  <si>
    <t>Main</t>
  </si>
  <si>
    <t>yes</t>
  </si>
  <si>
    <t>Done</t>
  </si>
  <si>
    <t>DIA001</t>
  </si>
  <si>
    <t>Official ICD-10 diagnosis code</t>
  </si>
  <si>
    <t>Diagnosis name</t>
  </si>
  <si>
    <t>Medical specialty responsible for the diagnosis</t>
  </si>
  <si>
    <t>Internal Medicine, Pediatrics, Nutrition, Surgery</t>
  </si>
  <si>
    <t>String (FK)</t>
  </si>
  <si>
    <t>DEP001</t>
  </si>
  <si>
    <t>Infectious, Chronic, Injury, Maternal, Neonatal, Nutrition, Mental Health, Neurological, Musculoskeletal, General</t>
  </si>
  <si>
    <t>Typical clinical severity</t>
  </si>
  <si>
    <t>Included in disease surveillance</t>
  </si>
  <si>
    <t>Diagnosis available for use</t>
  </si>
  <si>
    <t>Laboratory_Tests</t>
  </si>
  <si>
    <t>Medicines</t>
  </si>
  <si>
    <t>Procedures</t>
  </si>
  <si>
    <t>Vaccines</t>
  </si>
  <si>
    <t>Complaint_Categories</t>
  </si>
  <si>
    <t>Facility_Types</t>
  </si>
  <si>
    <t>Staff_Roles</t>
  </si>
  <si>
    <t>Visit_Types</t>
  </si>
  <si>
    <t>Referral_Reasons</t>
  </si>
  <si>
    <t>Nationalities</t>
  </si>
  <si>
    <t>Facility_Type_ID</t>
  </si>
  <si>
    <t>Facility type where the department is available</t>
  </si>
  <si>
    <t>FT001</t>
  </si>
  <si>
    <t>STF001</t>
  </si>
  <si>
    <t>Staff role</t>
  </si>
  <si>
    <t>ROLE003</t>
  </si>
  <si>
    <t>Visit type</t>
  </si>
  <si>
    <t>VT001</t>
  </si>
  <si>
    <t>facility_types</t>
  </si>
  <si>
    <t>Defines healthcare facility types (Hospital, PHC, Mobile Clinic, etc.)</t>
  </si>
  <si>
    <t>facility_type_id</t>
  </si>
  <si>
    <t>—</t>
  </si>
  <si>
    <t>visit_types</t>
  </si>
  <si>
    <t>Defines standard patient visit types used by clinic visits</t>
  </si>
  <si>
    <t>visit_type_id</t>
  </si>
  <si>
    <t>staff_roles</t>
  </si>
  <si>
    <t>Defines healthcare and administrative staff roles</t>
  </si>
  <si>
    <t>role_id</t>
  </si>
  <si>
    <t>facility_id, Staff_Role_ID</t>
  </si>
  <si>
    <t>patient_id, facility_id, staff_id, department_id, Visit_Type_ID</t>
  </si>
  <si>
    <t>Governorate_ID, district_id, Facility_Type_ID</t>
  </si>
  <si>
    <t>Unique facility type identifier</t>
  </si>
  <si>
    <t>Healthcare facility type</t>
  </si>
  <si>
    <t>Hospital</t>
  </si>
  <si>
    <t>Level of healthcare provided</t>
  </si>
  <si>
    <t>Primary, Secondary, Tertiary, Specialized</t>
  </si>
  <si>
    <t>Provides inpatient admission services</t>
  </si>
  <si>
    <t>Provides outpatient services</t>
  </si>
  <si>
    <t>Typical number of inpatient beds</t>
  </si>
  <si>
    <t>Brief description of facility services</t>
  </si>
  <si>
    <t>Comprehensive hospital services</t>
  </si>
  <si>
    <t>Facility type available for use</t>
  </si>
  <si>
    <t>Unique visit type identifier</t>
  </si>
  <si>
    <t>Initial Consultation</t>
  </si>
  <si>
    <t>Outpatient, Emergency, Nutrition, Preventive, Laboratory, Pharmacy, Referral, Maternal Health</t>
  </si>
  <si>
    <t>Indicates whether an appointment is required</t>
  </si>
  <si>
    <t>Expected average visit duration</t>
  </si>
  <si>
    <t>Brief description of the visit type</t>
  </si>
  <si>
    <t>First consultation for assessment and diagnosis</t>
  </si>
  <si>
    <t>Visit type available for use</t>
  </si>
  <si>
    <t>Unique staff role identifier</t>
  </si>
  <si>
    <t>ROLE001</t>
  </si>
  <si>
    <t>Healthcare or administrative role</t>
  </si>
  <si>
    <t>General Practitioner</t>
  </si>
  <si>
    <t>Primary department or service category</t>
  </si>
  <si>
    <t>Medical, Surgical, Nursing, Pharmacy, Laboratory, Administration</t>
  </si>
  <si>
    <t>Indicates whether the role provides direct patient care</t>
  </si>
  <si>
    <t>Authorized to prescribe medications</t>
  </si>
  <si>
    <t>Authorized to order laboratory investigations</t>
  </si>
  <si>
    <t>Authorized to perform clinical procedures</t>
  </si>
  <si>
    <t>Role available for assignment</t>
  </si>
  <si>
    <t>country</t>
  </si>
  <si>
    <t>region</t>
  </si>
  <si>
    <t>population</t>
  </si>
  <si>
    <t>urban_rural</t>
  </si>
  <si>
    <t>is_active</t>
  </si>
  <si>
    <t>area</t>
  </si>
  <si>
    <t>latitude</t>
  </si>
  <si>
    <t>longitude</t>
  </si>
  <si>
    <t>district</t>
  </si>
  <si>
    <t>governorate</t>
  </si>
  <si>
    <t>service_category</t>
  </si>
  <si>
    <t>description</t>
  </si>
  <si>
    <t>department</t>
  </si>
  <si>
    <t>diagnosis_id</t>
  </si>
  <si>
    <t>icd10_code</t>
  </si>
  <si>
    <t>clinical_specialty</t>
  </si>
  <si>
    <t>disease_category</t>
  </si>
  <si>
    <t>severity</t>
  </si>
  <si>
    <t>is_reportable</t>
  </si>
  <si>
    <t>diagnosis</t>
  </si>
  <si>
    <t>procedure_code</t>
  </si>
  <si>
    <t>procedure_category</t>
  </si>
  <si>
    <t>average_duration_minutes</t>
  </si>
  <si>
    <t>procedure</t>
  </si>
  <si>
    <t>PR001</t>
  </si>
  <si>
    <t>test_id</t>
  </si>
  <si>
    <t>test_name</t>
  </si>
  <si>
    <t>test_category</t>
  </si>
  <si>
    <t>unit</t>
  </si>
  <si>
    <t>normal_range</t>
  </si>
  <si>
    <t>average_tat_hours</t>
  </si>
  <si>
    <t>medicine_name</t>
  </si>
  <si>
    <t>brand_name</t>
  </si>
  <si>
    <t>therapeutic_class</t>
  </si>
  <si>
    <t>dosage_form</t>
  </si>
  <si>
    <t>strength</t>
  </si>
  <si>
    <t>requires_prescription</t>
  </si>
  <si>
    <t>vaccine_id</t>
  </si>
  <si>
    <t>vaccine_name</t>
  </si>
  <si>
    <t>target_disease</t>
  </si>
  <si>
    <t>target_age_group</t>
  </si>
  <si>
    <t>number_of_doses</t>
  </si>
  <si>
    <t>manufacturer</t>
  </si>
  <si>
    <t>category_id</t>
  </si>
  <si>
    <t>category_name</t>
  </si>
  <si>
    <t>complaint_type</t>
  </si>
  <si>
    <t>priority_level</t>
  </si>
  <si>
    <t>sla_days</t>
  </si>
  <si>
    <t>is_confidential</t>
  </si>
  <si>
    <t>national_id</t>
  </si>
  <si>
    <t>first_name</t>
  </si>
  <si>
    <t>last_name</t>
  </si>
  <si>
    <t>gender</t>
  </si>
  <si>
    <t>date_of_birth</t>
  </si>
  <si>
    <t>age</t>
  </si>
  <si>
    <t>age_group</t>
  </si>
  <si>
    <t>pregnancy_status</t>
  </si>
  <si>
    <t>disability_status</t>
  </si>
  <si>
    <t>nationality</t>
  </si>
  <si>
    <t>phone_number</t>
  </si>
  <si>
    <t>registration_date</t>
  </si>
  <si>
    <t>registration_facility_id</t>
  </si>
  <si>
    <t>staff_role_id</t>
  </si>
  <si>
    <t>job_title</t>
  </si>
  <si>
    <t>employment_type</t>
  </si>
  <si>
    <t>hire_date</t>
  </si>
  <si>
    <t>years_of_experience</t>
  </si>
  <si>
    <t>employment_status</t>
  </si>
  <si>
    <t>visit_date</t>
  </si>
  <si>
    <t>visit_time</t>
  </si>
  <si>
    <t>visit_type</t>
  </si>
  <si>
    <t>visit_reason</t>
  </si>
  <si>
    <t>visit_status</t>
  </si>
  <si>
    <t>waiting_time_minutes</t>
  </si>
  <si>
    <t>consultation_time_minutes</t>
  </si>
  <si>
    <t>referral_required</t>
  </si>
  <si>
    <t>followup_required</t>
  </si>
  <si>
    <t>visit_cost</t>
  </si>
  <si>
    <t>outcome</t>
  </si>
  <si>
    <t>created_at</t>
  </si>
  <si>
    <t>procedure_date</t>
  </si>
  <si>
    <t>procedure_status</t>
  </si>
  <si>
    <t>duration_minutes</t>
  </si>
  <si>
    <t>procedure_result</t>
  </si>
  <si>
    <t>lab_request_id</t>
  </si>
  <si>
    <t>request_date</t>
  </si>
  <si>
    <t>sample_type</t>
  </si>
  <si>
    <t>priority</t>
  </si>
  <si>
    <t>result_status</t>
  </si>
  <si>
    <t>result_date</t>
  </si>
  <si>
    <t>turnaround_time_hours</t>
  </si>
  <si>
    <t>dispensing_id</t>
  </si>
  <si>
    <t>dispense_date</t>
  </si>
  <si>
    <t>quantity</t>
  </si>
  <si>
    <t>dosage</t>
  </si>
  <si>
    <t>dispensing_status</t>
  </si>
  <si>
    <t>vaccination_id</t>
  </si>
  <si>
    <t>vaccination_date</t>
  </si>
  <si>
    <t>dose_number</t>
  </si>
  <si>
    <t>batch_number</t>
  </si>
  <si>
    <t>vaccination_status</t>
  </si>
  <si>
    <t>adverse_event</t>
  </si>
  <si>
    <t>screening_date</t>
  </si>
  <si>
    <t>muac_cm</t>
  </si>
  <si>
    <t>weight_kg</t>
  </si>
  <si>
    <t>height_cm</t>
  </si>
  <si>
    <t>bmi</t>
  </si>
  <si>
    <t>nutrition_status</t>
  </si>
  <si>
    <t>edema</t>
  </si>
  <si>
    <t>followup_date</t>
  </si>
  <si>
    <t>followup_number</t>
  </si>
  <si>
    <t>next_followup_date</t>
  </si>
  <si>
    <t>from_facility_id</t>
  </si>
  <si>
    <t>to_facility_id</t>
  </si>
  <si>
    <t>referral_date</t>
  </si>
  <si>
    <t>referral_reason</t>
  </si>
  <si>
    <t>referral_status</t>
  </si>
  <si>
    <t>referral_outcome</t>
  </si>
  <si>
    <t>complaint_date</t>
  </si>
  <si>
    <t>complaint_channel</t>
  </si>
  <si>
    <t>complaint_title</t>
  </si>
  <si>
    <t>complaint_description</t>
  </si>
  <si>
    <t>complaint_priority</t>
  </si>
  <si>
    <t>assigned_to</t>
  </si>
  <si>
    <t>complaint_status</t>
  </si>
  <si>
    <t>resolution_action</t>
  </si>
  <si>
    <t>resolution_date</t>
  </si>
  <si>
    <t>resolution_time_days</t>
  </si>
  <si>
    <t>satisfaction_after_resolution</t>
  </si>
  <si>
    <t>confidential</t>
  </si>
  <si>
    <t>training_id</t>
  </si>
  <si>
    <t>training_title</t>
  </si>
  <si>
    <t>training_category</t>
  </si>
  <si>
    <t>training_date</t>
  </si>
  <si>
    <t>trainer</t>
  </si>
  <si>
    <t>completion_status</t>
  </si>
  <si>
    <t>score</t>
  </si>
  <si>
    <t>certificate_expiry</t>
  </si>
  <si>
    <t>expiry_date</t>
  </si>
  <si>
    <t>stock_received</t>
  </si>
  <si>
    <t>stock_dispensed</t>
  </si>
  <si>
    <t>current_stock</t>
  </si>
  <si>
    <t>reorder_level</t>
  </si>
  <si>
    <t>stock_status</t>
  </si>
  <si>
    <t>last_updated</t>
  </si>
  <si>
    <t>facility_type</t>
  </si>
  <si>
    <t>level_of_care</t>
  </si>
  <si>
    <t>provides_inpatient</t>
  </si>
  <si>
    <t>provides_outpatient</t>
  </si>
  <si>
    <t>typical_bed_capacity</t>
  </si>
  <si>
    <t>appointment_required</t>
  </si>
  <si>
    <t>role_name</t>
  </si>
  <si>
    <t>department_category</t>
  </si>
  <si>
    <t>clinical</t>
  </si>
  <si>
    <t>can_prescribe_medicine</t>
  </si>
  <si>
    <t>can_request_lab_tests</t>
  </si>
  <si>
    <t>can_perform_procedures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</si>
</sst>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color rgb="FFE6EDF3"/>
      <name val="Consolas"/>
      <family val="3"/>
      <charset val="162"/>
    </font>
    <font>
      <sz val="8"/>
      <color rgb="FFFF7B72"/>
      <name val="Consolas"/>
      <family val="3"/>
      <charset val="16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3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14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22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</cellXfs>
  <cellStyles count="1">
    <cellStyle name="عادي" xfId="0" builtinId="0"/>
  </cellStyles>
  <dxfs count="162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" formatCode="#,##0"/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C947C0-5C7C-4118-8EA8-24AB5D385777}" name="الجدول1" displayName="الجدول1" ref="A1:J28" totalsRowShown="0" headerRowDxfId="161" dataDxfId="160">
  <autoFilter ref="A1:J28" xr:uid="{BEC947C0-5C7C-4118-8EA8-24AB5D385777}"/>
  <tableColumns count="10">
    <tableColumn id="1" xr3:uid="{F7965DBD-61AF-4475-B854-007F20D53308}" name="Dataset" dataDxfId="159"/>
    <tableColumn id="2" xr3:uid="{0078A571-BE66-4F98-B46B-22931682B352}" name="Category" dataDxfId="158"/>
    <tableColumn id="10" xr3:uid="{B46770A1-0418-4A0B-BC0B-39E49FD043ED}" name="Module" dataDxfId="157"/>
    <tableColumn id="3" xr3:uid="{0A278D04-9CA5-4F71-9BD3-E1AE024BA35F}" name="Type" dataDxfId="156"/>
    <tableColumn id="4" xr3:uid="{3B44F588-3401-4956-8E8C-59B3CF9EC52F}" name="Purpose" dataDxfId="155"/>
    <tableColumn id="5" xr3:uid="{2A3F3C74-AB88-40B5-BDF9-6C3374BB6568}" name="Approx. Records" dataDxfId="154"/>
    <tableColumn id="6" xr3:uid="{0E7E9BC8-16B6-4747-9EDE-3A80D3675691}" name="PK" dataDxfId="153"/>
    <tableColumn id="7" xr3:uid="{067B2237-279E-4886-923E-7829E8EC226E}" name="FK" dataDxfId="152"/>
    <tableColumn id="8" xr3:uid="{2A31EAC9-FE0A-4B8F-A961-FBAC293CFE64}" name="Generated" dataDxfId="151"/>
    <tableColumn id="9" xr3:uid="{783E18B0-1334-42AC-B23B-810D9A67F5B4}" name="Status" dataDxfId="1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CB5877-CBF8-46F9-810B-5059C8C0D960}" name="الجدول2" displayName="الجدول2" ref="A1:D9" totalsRowShown="0" headerRowDxfId="149" dataDxfId="148">
  <autoFilter ref="A1:D9" xr:uid="{FCCB5877-CBF8-46F9-810B-5059C8C0D960}"/>
  <tableColumns count="4">
    <tableColumn id="1" xr3:uid="{75925206-ED1B-43D3-A665-2CBC17F44EB8}" name="Column" dataDxfId="147"/>
    <tableColumn id="2" xr3:uid="{D5D77A81-3283-48E5-80D1-A6B33B96C8EC}" name="Data Type" dataDxfId="146"/>
    <tableColumn id="3" xr3:uid="{8EE9886C-94D3-4D39-83B0-1FD7953A2F09}" name="Description" dataDxfId="145"/>
    <tableColumn id="4" xr3:uid="{9B77E886-6CB6-413F-97F1-992EF0BC831D}" name="Allowed Values / Example" dataDxfId="1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2777B5-F573-4C44-A7C5-811F6228FA98}" name="الجدول3" displayName="الجدول3" ref="A1:D9" totalsRowShown="0" headerRowDxfId="143" dataDxfId="142">
  <autoFilter ref="A1:D9" xr:uid="{942777B5-F573-4C44-A7C5-811F6228FA98}"/>
  <tableColumns count="4">
    <tableColumn id="1" xr3:uid="{98250033-FCAB-4DD6-AD51-5A841EC05241}" name="Column" dataDxfId="141"/>
    <tableColumn id="2" xr3:uid="{4FEC869A-1649-444C-AAC5-B21C0E360956}" name="Data Type" dataDxfId="140"/>
    <tableColumn id="3" xr3:uid="{E2120997-7359-448D-8F32-5DF57F016719}" name="Description" dataDxfId="139"/>
    <tableColumn id="4" xr3:uid="{AC5BC1BF-93AF-49E0-9E04-29091DC214EA}" name="Allowed Values / Example" dataDxfId="1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B6F8A6-7F0C-4DDD-9A8D-C9133A207D88}" name="الجدول4" displayName="الجدول4" ref="A1:D7" totalsRowShown="0">
  <autoFilter ref="A1:D7" xr:uid="{E6B6F8A6-7F0C-4DDD-9A8D-C9133A207D88}"/>
  <tableColumns count="4">
    <tableColumn id="1" xr3:uid="{E1BDDDE7-63E0-4A12-9209-016EEA94936E}" name="Column"/>
    <tableColumn id="2" xr3:uid="{F3FF9C96-5795-4C89-BC1D-FE0E5BB590A0}" name="Data Type"/>
    <tableColumn id="3" xr3:uid="{1A175C9E-4D12-4A6A-B58C-748B730E4E0C}" name="Description"/>
    <tableColumn id="4" xr3:uid="{8E533985-95C3-447F-8DAB-84A93A2F912B}" name="Allowed Values / Ex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B8ED0F2-2DC3-4CE2-9C82-A45B996CD7C5}" name="الجدول5" displayName="الجدول5" ref="A1:D10" totalsRowShown="0">
  <autoFilter ref="A1:D10" xr:uid="{2B8ED0F2-2DC3-4CE2-9C82-A45B996CD7C5}"/>
  <tableColumns count="4">
    <tableColumn id="1" xr3:uid="{576F0A7A-33EE-4B16-9700-7C657C7AEB49}" name="Column"/>
    <tableColumn id="2" xr3:uid="{2F40B2F9-35E5-4CA9-941A-F50C3EC446E3}" name="Data Type"/>
    <tableColumn id="3" xr3:uid="{B721AA86-C8B7-472F-8D35-BCC9A12C9987}" name="Description"/>
    <tableColumn id="4" xr3:uid="{5CBBEE00-FABA-4FBA-ABCB-2383EF39E4DD}" name="Allowed Values / Examp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679551-2844-441A-939F-AB9A1D576D8E}" name="الجدول6" displayName="الجدول6" ref="A1:D8" totalsRowShown="0" headerRowDxfId="137" dataDxfId="136">
  <autoFilter ref="A1:D8" xr:uid="{56679551-2844-441A-939F-AB9A1D576D8E}"/>
  <tableColumns count="4">
    <tableColumn id="1" xr3:uid="{0F9A5248-017B-49FF-B891-30141F821933}" name="Column" dataDxfId="135"/>
    <tableColumn id="2" xr3:uid="{74C92EE9-C026-4077-B55D-A7F0C4316F0C}" name="Data Type" dataDxfId="134"/>
    <tableColumn id="3" xr3:uid="{AB23323B-CD43-4E55-927A-C898F6ED33AC}" name="Description" dataDxfId="133"/>
    <tableColumn id="4" xr3:uid="{A6D71E4A-8401-404F-B6B8-5E6535C20D33}" name="Allowed Values / Example" dataDxfId="1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A53053-6365-42E0-BABD-A5AFB28A59D2}" name="الجدول7" displayName="الجدول7" ref="A1:D8" totalsRowShown="0" headerRowDxfId="131" dataDxfId="130">
  <autoFilter ref="A1:D8" xr:uid="{FCA53053-6365-42E0-BABD-A5AFB28A59D2}"/>
  <tableColumns count="4">
    <tableColumn id="1" xr3:uid="{F3E6D9CF-9EE3-4764-94A5-1D69CF074880}" name="Column" dataDxfId="129"/>
    <tableColumn id="2" xr3:uid="{AE07C774-F3BA-47FE-AF56-C9F655A77537}" name="Data Type" dataDxfId="128"/>
    <tableColumn id="3" xr3:uid="{68AEA0F8-1A16-4032-A90D-C3164C79A0E4}" name="Description" dataDxfId="127"/>
    <tableColumn id="4" xr3:uid="{D65D6078-C024-4032-9075-333CFC4AEA61}" name="Allowed Values / Example" dataDxfId="1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EDF9D7-9A09-49E6-B11B-05A371823F0B}" name="الجدول8" displayName="الجدول8" ref="A1:D10" totalsRowShown="0" headerRowDxfId="125" dataDxfId="124">
  <autoFilter ref="A1:D10" xr:uid="{00EDF9D7-9A09-49E6-B11B-05A371823F0B}"/>
  <tableColumns count="4">
    <tableColumn id="1" xr3:uid="{7DDC3522-23B0-4B6A-80D3-1CB5D4ACE2CF}" name="Column" dataDxfId="123"/>
    <tableColumn id="2" xr3:uid="{8598215C-B25C-4A5F-AD83-CA22F9C62C84}" name="Data Type" dataDxfId="122"/>
    <tableColumn id="3" xr3:uid="{B2E884F7-AE3F-4D0A-A34F-CE0005CCF55B}" name="Description" dataDxfId="121"/>
    <tableColumn id="4" xr3:uid="{2961AAB3-37A4-45CC-8608-88C0D87B0439}" name="Allowed Values / Example" dataDxfId="1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7C0C09D-6584-4E0A-931B-0974A8F18FE1}" name="الجدول9" displayName="الجدول9" ref="A1:D8" totalsRowShown="0" headerRowDxfId="119" dataDxfId="118">
  <autoFilter ref="A1:D8" xr:uid="{E7C0C09D-6584-4E0A-931B-0974A8F18FE1}"/>
  <tableColumns count="4">
    <tableColumn id="1" xr3:uid="{1A50EACC-D21F-46D8-88C0-63621CFB2890}" name="Column" dataDxfId="117"/>
    <tableColumn id="2" xr3:uid="{3979B1CA-9075-45A7-9721-E505B30C02BE}" name="Data Type" dataDxfId="116"/>
    <tableColumn id="3" xr3:uid="{04986390-F5AF-4855-AF4A-77368C135CDB}" name="Description" dataDxfId="115"/>
    <tableColumn id="4" xr3:uid="{5EE5E9F5-70D3-4137-8C63-29232DAD73F9}" name="Allowed Values / Example" dataDxfId="11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85892CE-5F0B-462B-AD24-EC95E8606EE9}" name="الجدول10" displayName="الجدول10" ref="A1:D8" totalsRowShown="0" headerRowDxfId="113" dataDxfId="112">
  <autoFilter ref="A1:D8" xr:uid="{485892CE-5F0B-462B-AD24-EC95E8606EE9}"/>
  <tableColumns count="4">
    <tableColumn id="1" xr3:uid="{98DF7C43-51C9-4AD0-923B-CB2835EF6314}" name="Column" dataDxfId="111"/>
    <tableColumn id="2" xr3:uid="{AADA9E8E-4923-4FEE-A20B-64CC95471446}" name="Data Type" dataDxfId="110"/>
    <tableColumn id="3" xr3:uid="{7EFF4B55-310A-49B6-9640-3EBC3BDE2CE7}" name="Description" dataDxfId="109"/>
    <tableColumn id="4" xr3:uid="{9F4D3A27-C25D-4EBC-B957-50267927E9F9}" name="Allowed Values / Example" dataDxfId="10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C500978-8247-4F83-B69C-44DEB4CCADEC}" name="الجدول11" displayName="الجدول11" ref="A1:D15" totalsRowShown="0" headerRowDxfId="107" dataDxfId="106">
  <autoFilter ref="A1:D15" xr:uid="{4C500978-8247-4F83-B69C-44DEB4CCADEC}"/>
  <tableColumns count="4">
    <tableColumn id="1" xr3:uid="{2A143BAE-1CC0-4D19-B487-414EA03A8B50}" name="Column" dataDxfId="105"/>
    <tableColumn id="2" xr3:uid="{869493B6-B57C-4A53-B344-9D7A672B809D}" name="Data Type" dataDxfId="104"/>
    <tableColumn id="3" xr3:uid="{0DE40882-54C4-4F92-908A-CC90FD71A33C}" name="Description" dataDxfId="103"/>
    <tableColumn id="4" xr3:uid="{65A2044A-0E70-4F2D-B02F-A088C753DF40}" name="Allowed Values / Example" dataDxfId="10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303CFC4-62C3-43FA-BC60-109E788737C4}" name="الجدول12" displayName="الجدول12" ref="A1:D18" totalsRowShown="0" headerRowDxfId="101" dataDxfId="100">
  <autoFilter ref="A1:D18" xr:uid="{9303CFC4-62C3-43FA-BC60-109E788737C4}"/>
  <tableColumns count="4">
    <tableColumn id="1" xr3:uid="{4B0A7A47-C50B-4910-BC68-25880D6878D6}" name="Column" dataDxfId="99"/>
    <tableColumn id="2" xr3:uid="{7F1E6C91-B766-442B-B9A4-4EF755BB54F2}" name="Data Type" dataDxfId="98"/>
    <tableColumn id="3" xr3:uid="{5EEE8914-0E7D-4A2E-811B-2E22072C4644}" name="Description" dataDxfId="97"/>
    <tableColumn id="4" xr3:uid="{49F315B2-BEA2-483B-A149-E612D33CCD06}" name="Allowed Values / Example" dataDxfId="9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53C950-45F9-49ED-8E8E-171669D13951}" name="الجدول13" displayName="الجدول13" ref="A1:D17" totalsRowShown="0" headerRowDxfId="95" dataDxfId="94">
  <autoFilter ref="A1:D17" xr:uid="{4D53C950-45F9-49ED-8E8E-171669D13951}"/>
  <tableColumns count="4">
    <tableColumn id="1" xr3:uid="{858E53AB-FF2F-4458-A241-5DF673AB49C3}" name="Column" dataDxfId="93"/>
    <tableColumn id="2" xr3:uid="{CF775E20-29D3-4422-B138-8023D9F31D27}" name="Data Type" dataDxfId="92"/>
    <tableColumn id="3" xr3:uid="{765F9D64-2586-43B5-91AF-3764667671F8}" name="Description" dataDxfId="91"/>
    <tableColumn id="4" xr3:uid="{3BFBE193-0421-46BE-B35C-DB36214FAD2C}" name="Allowed Values / Example" dataDxfId="9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5032F0B-C0AC-482A-AB86-5C6761DFE2DC}" name="الجدول14" displayName="الجدول14" ref="A1:D19" totalsRowShown="0" headerRowDxfId="89" dataDxfId="88">
  <autoFilter ref="A1:D19" xr:uid="{75032F0B-C0AC-482A-AB86-5C6761DFE2DC}"/>
  <tableColumns count="4">
    <tableColumn id="1" xr3:uid="{57FBBFC8-1347-4295-9AA8-EE1008649412}" name="Column" dataDxfId="87"/>
    <tableColumn id="2" xr3:uid="{4E023EEA-4608-44A3-9904-E16CE9DD618A}" name="Data Type" dataDxfId="86"/>
    <tableColumn id="3" xr3:uid="{D4047931-4D61-4419-B03C-86ACF8EA7DFE}" name="Description" dataDxfId="85"/>
    <tableColumn id="4" xr3:uid="{A50998DB-399A-4D95-A24D-48552BD13F72}" name="Allowed Values / Example" dataDxfId="8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5632023-0AEB-42F0-8CFC-6A9D566164A8}" name="الجدول15" displayName="الجدول15" ref="A1:D9" totalsRowShown="0" headerRowDxfId="83" dataDxfId="82">
  <autoFilter ref="A1:D9" xr:uid="{25632023-0AEB-42F0-8CFC-6A9D566164A8}"/>
  <tableColumns count="4">
    <tableColumn id="1" xr3:uid="{BB672209-8B43-4BDD-A9C9-72A0F9A2A3C0}" name="Column" dataDxfId="81">
      <calculatedColumnFormula>LOWER(الجدول15[[#This Row],[Column]])</calculatedColumnFormula>
    </tableColumn>
    <tableColumn id="2" xr3:uid="{69275ADF-E96B-498B-BB35-F67E47B74EC9}" name="Data Type" dataDxfId="80"/>
    <tableColumn id="3" xr3:uid="{2C847F1D-8499-4373-A6C5-F0CFC72DF9DE}" name="Description" dataDxfId="79"/>
    <tableColumn id="4" xr3:uid="{C326E093-4465-486B-850F-EAC65B44E5D6}" name="Allowed Values / Example" dataDxfId="7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D3BC078-884A-4687-92A9-F5F09F089BEF}" name="الجدول16" displayName="الجدول16" ref="A1:D9" totalsRowShown="0" headerRowDxfId="77" dataDxfId="76">
  <autoFilter ref="A1:D9" xr:uid="{9D3BC078-884A-4687-92A9-F5F09F089BEF}"/>
  <tableColumns count="4">
    <tableColumn id="1" xr3:uid="{975FFFDE-1F37-446A-B0D4-3E535AB264F2}" name="Column" dataDxfId="75"/>
    <tableColumn id="2" xr3:uid="{0F84F644-A97B-4B06-8CBA-132853EB5ACB}" name="Data Type" dataDxfId="74"/>
    <tableColumn id="3" xr3:uid="{92071139-B59F-455F-A9E8-3BD76A1B84ED}" name="Description" dataDxfId="73"/>
    <tableColumn id="4" xr3:uid="{E3929001-BCCE-4587-86D4-04871BC28313}" name="Allowed Values / Example" dataDxfId="7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7FEE3BA-8942-4F76-A975-1C2908D8CE8B}" name="الجدول17" displayName="الجدول17" ref="A1:D13" totalsRowShown="0" headerRowDxfId="71" dataDxfId="70">
  <autoFilter ref="A1:D13" xr:uid="{67FEE3BA-8942-4F76-A975-1C2908D8CE8B}"/>
  <tableColumns count="4">
    <tableColumn id="1" xr3:uid="{64C9B7F9-2017-4207-9DD8-A259A09549B2}" name="Column" dataDxfId="69"/>
    <tableColumn id="2" xr3:uid="{93E895C2-E202-4567-835E-E132E78E2A9C}" name="Data Type" dataDxfId="68"/>
    <tableColumn id="3" xr3:uid="{BD6F7359-2D37-4B44-913E-D1DE95B217A7}" name="Description" dataDxfId="67"/>
    <tableColumn id="4" xr3:uid="{72244CAE-4B5B-4260-8597-27FED101DCD7}" name="Allowed Values / Example" dataDxfId="6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56C9AC2-3E24-426C-8403-527E5C7E59DA}" name="الجدول18" displayName="الجدول18" ref="A1:D12" totalsRowShown="0" headerRowDxfId="65" dataDxfId="64">
  <autoFilter ref="A1:D12" xr:uid="{056C9AC2-3E24-426C-8403-527E5C7E59DA}"/>
  <tableColumns count="4">
    <tableColumn id="1" xr3:uid="{4F439F61-4F0A-49CB-8C41-5B71B7A2B20A}" name="Column" dataDxfId="63"/>
    <tableColumn id="2" xr3:uid="{C09387A9-A6DC-4453-9E1E-B8017BCCBC27}" name="Data Type" dataDxfId="62"/>
    <tableColumn id="3" xr3:uid="{A12C7B28-A3EF-47FA-B0D7-9ECA7386BE49}" name="Description" dataDxfId="61"/>
    <tableColumn id="4" xr3:uid="{5C3061B6-4B54-4006-9A36-1B3FAC438DA4}" name="Allowed Values / Example" dataDxfId="6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CF371A2-7DF9-4988-8F33-3DD4F13A8212}" name="الجدول19" displayName="الجدول19" ref="A1:D12" totalsRowShown="0" headerRowDxfId="59" dataDxfId="58">
  <autoFilter ref="A1:D12" xr:uid="{9CF371A2-7DF9-4988-8F33-3DD4F13A8212}"/>
  <tableColumns count="4">
    <tableColumn id="1" xr3:uid="{A21A1016-DBD9-47D5-886E-B674C55051E7}" name="Column" dataDxfId="57"/>
    <tableColumn id="2" xr3:uid="{FE357B48-8307-4B83-B52B-D2994F40E506}" name="Data Type" dataDxfId="56"/>
    <tableColumn id="3" xr3:uid="{70971FCB-282D-4986-A3F3-DA3834977E68}" name="Description" dataDxfId="55"/>
    <tableColumn id="4" xr3:uid="{B955E73C-096C-4BE8-8110-23B8754F537C}" name="Allowed Values / Example" dataDxfId="5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B779F95-2D60-45DF-A9D4-5A38F5815019}" name="الجدول20" displayName="الجدول20" ref="A1:D13" totalsRowShown="0" headerRowDxfId="53" dataDxfId="52">
  <autoFilter ref="A1:D13" xr:uid="{EB779F95-2D60-45DF-A9D4-5A38F5815019}"/>
  <tableColumns count="4">
    <tableColumn id="1" xr3:uid="{15C8F47A-02F9-40E0-A744-9C7A11E3373F}" name="Column" dataDxfId="51"/>
    <tableColumn id="2" xr3:uid="{4591B56F-C760-4A8A-90D7-939CC4A4962B}" name="Data Type" dataDxfId="50"/>
    <tableColumn id="3" xr3:uid="{48CBB3FE-710B-4C65-8EA8-2E632E840ED5}" name="Description" dataDxfId="49"/>
    <tableColumn id="4" xr3:uid="{CFDEB3C0-81F4-47C5-B0E7-7E48AC17D40D}" name="Allowed Values / Example" dataDxfId="4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ACB8C8E-5989-4915-8F94-E21EF21B2BB3}" name="الجدول21" displayName="الجدول21" ref="A1:D11" totalsRowShown="0" headerRowDxfId="47" dataDxfId="46">
  <autoFilter ref="A1:D11" xr:uid="{8ACB8C8E-5989-4915-8F94-E21EF21B2BB3}"/>
  <tableColumns count="4">
    <tableColumn id="1" xr3:uid="{327EF85E-F9DE-49DB-A6B3-A7784D4833FB}" name="Column" dataDxfId="45"/>
    <tableColumn id="2" xr3:uid="{50F23B78-5136-4E74-84C3-C371DE0359B3}" name="Data Type" dataDxfId="44"/>
    <tableColumn id="3" xr3:uid="{D0849E10-C63F-4ED8-AE47-C2DDDE01FA8B}" name="Description" dataDxfId="43"/>
    <tableColumn id="4" xr3:uid="{05E9231E-8E01-491F-9957-B3423505A1D1}" name="Allowed Values / Example" dataDxfId="4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F1F4735-B949-45D6-8EDA-5E5EA58748FF}" name="الجدول22" displayName="الجدول22" ref="A1:D10" totalsRowShown="0" headerRowDxfId="41" dataDxfId="40">
  <autoFilter ref="A1:D10" xr:uid="{4F1F4735-B949-45D6-8EDA-5E5EA58748FF}"/>
  <tableColumns count="4">
    <tableColumn id="1" xr3:uid="{F3437469-684F-42A0-8CA4-E2CF3118C321}" name="Column" dataDxfId="39"/>
    <tableColumn id="2" xr3:uid="{E28F9C1C-164A-41AC-B998-DB218B4DB58A}" name="Data Type" dataDxfId="38"/>
    <tableColumn id="3" xr3:uid="{64F05DD9-33FA-449E-84E1-74B34D11ADCC}" name="Description" dataDxfId="37"/>
    <tableColumn id="4" xr3:uid="{8A9F7559-37CC-45DA-A8DA-272B3001164D}" name="Allowed Values / Example" dataDxfId="3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1773829-2EF3-4F13-9210-D9DBDC4F7820}" name="الجدول23" displayName="الجدول23" ref="A1:D18" totalsRowShown="0" headerRowDxfId="35" dataDxfId="34">
  <autoFilter ref="A1:D18" xr:uid="{B1773829-2EF3-4F13-9210-D9DBDC4F7820}"/>
  <tableColumns count="4">
    <tableColumn id="1" xr3:uid="{2D64AB93-7600-4A61-9DBB-0F03CB904260}" name="Column" dataDxfId="33"/>
    <tableColumn id="2" xr3:uid="{51CF2F2F-D652-4BF6-889F-E01DD6C8E225}" name="Data Type" dataDxfId="32"/>
    <tableColumn id="3" xr3:uid="{76FF00CE-00ED-4A88-9F2D-7EC8D356B772}" name="Description" dataDxfId="31"/>
    <tableColumn id="4" xr3:uid="{35ED61D0-44D8-46BD-8818-17C684206C09}" name="Allowed Values / Example" dataDxfId="30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F8825EB-3956-4084-AAE0-78EC85781AE4}" name="الجدول24" displayName="الجدول24" ref="A1:D11" totalsRowShown="0" headerRowDxfId="29" dataDxfId="28">
  <autoFilter ref="A1:D11" xr:uid="{6F8825EB-3956-4084-AAE0-78EC85781AE4}"/>
  <tableColumns count="4">
    <tableColumn id="1" xr3:uid="{6EEDCE05-99BC-434A-BAF6-F2D101EE2DEE}" name="Column" dataDxfId="27"/>
    <tableColumn id="2" xr3:uid="{9320F196-2C61-427F-9E39-ECDC0DC0523A}" name="Data Type" dataDxfId="26"/>
    <tableColumn id="3" xr3:uid="{1125A1E7-6DEB-4D85-8ABB-4C61C2AEFBE0}" name="Description" dataDxfId="25"/>
    <tableColumn id="4" xr3:uid="{1B80055A-B406-4238-9491-4B41BF03E80D}" name="Allowed Values / Example" dataDxfId="24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5E91523-85D8-4B32-8CE6-C19AE115003E}" name="الجدول25" displayName="الجدول25" ref="A1:D12" totalsRowShown="0" headerRowDxfId="23" dataDxfId="22">
  <autoFilter ref="A1:D12" xr:uid="{85E91523-85D8-4B32-8CE6-C19AE115003E}"/>
  <tableColumns count="4">
    <tableColumn id="1" xr3:uid="{9F34EDA7-36B4-4726-870F-67F47D169682}" name="Column" dataDxfId="21"/>
    <tableColumn id="2" xr3:uid="{577F6B2A-7A13-4C72-AAE2-99452C5F4EB9}" name="Data Type" dataDxfId="20"/>
    <tableColumn id="3" xr3:uid="{A25B5CB6-EA98-4BCD-BE09-C204247BECCA}" name="Description" dataDxfId="19"/>
    <tableColumn id="4" xr3:uid="{F095301F-C783-4970-8F18-906A83C33E33}" name="Allowed Values / Example" dataDxfId="1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C321771-F16A-41F5-827E-28A39452CBD8}" name="الجدول26" displayName="الجدول26" ref="A1:D9" totalsRowShown="0" headerRowDxfId="17" dataDxfId="16">
  <autoFilter ref="A1:D9" xr:uid="{DC321771-F16A-41F5-827E-28A39452CBD8}"/>
  <tableColumns count="4">
    <tableColumn id="1" xr3:uid="{89320338-E8D0-48DE-88B7-C2974C4A31C5}" name="Column" dataDxfId="15"/>
    <tableColumn id="2" xr3:uid="{B382BB13-9925-476E-8BC0-3C4012BB2145}" name="Data Type" dataDxfId="14"/>
    <tableColumn id="3" xr3:uid="{38D820C2-0D2A-4EAE-BCC1-3F06415723EB}" name="Description" dataDxfId="13"/>
    <tableColumn id="4" xr3:uid="{2DC99555-FC60-4C97-880C-288DF5E9AA0A}" name="Allowed Values / Example" dataDxfId="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473DFE2-0916-440B-972F-A888BD122B7F}" name="الجدول27" displayName="الجدول27" ref="A1:D8" totalsRowShown="0" headerRowDxfId="11" dataDxfId="10">
  <autoFilter ref="A1:D8" xr:uid="{C473DFE2-0916-440B-972F-A888BD122B7F}"/>
  <tableColumns count="4">
    <tableColumn id="1" xr3:uid="{B1E6786B-0975-4C58-9957-BDDE9AEF3018}" name="Column" dataDxfId="9"/>
    <tableColumn id="2" xr3:uid="{87AF5EEB-AB44-48AC-B98D-3C198A66F4CC}" name="Data Type" dataDxfId="8"/>
    <tableColumn id="3" xr3:uid="{70394157-ED86-4FC1-8220-08FE67851EC1}" name="Description" dataDxfId="7"/>
    <tableColumn id="4" xr3:uid="{03C36158-4605-4504-84EE-E9AD433B2774}" name="Allowed Values / Example" dataDxfId="6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D13D615-40C9-41DA-B46C-059AB8FE38F0}" name="الجدول28" displayName="الجدول28" ref="A1:D9" totalsRowShown="0" headerRowDxfId="5" dataDxfId="4">
  <autoFilter ref="A1:D9" xr:uid="{0D13D615-40C9-41DA-B46C-059AB8FE38F0}"/>
  <tableColumns count="4">
    <tableColumn id="1" xr3:uid="{F3794A0C-07F5-45B2-BACC-61F25A79638D}" name="Column" dataDxfId="3"/>
    <tableColumn id="2" xr3:uid="{8584C876-78AC-4CD2-9BDB-8C10F5ED9842}" name="Data Type" dataDxfId="2"/>
    <tableColumn id="3" xr3:uid="{67E3CF27-5E1D-4A5E-8DB2-04EDEA2DF2CB}" name="Description" dataDxfId="1"/>
    <tableColumn id="4" xr3:uid="{2E119D7D-290B-4969-B7B3-AF2192F25EBE}" name="Allowed Values / Exampl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E1091-0B08-4EF3-9B3A-A357A3C23B24}">
  <dimension ref="A1:P28"/>
  <sheetViews>
    <sheetView zoomScale="60" zoomScaleNormal="60" workbookViewId="0">
      <selection activeCell="A26" sqref="A26:J28"/>
    </sheetView>
  </sheetViews>
  <sheetFormatPr defaultRowHeight="14.4"/>
  <cols>
    <col min="1" max="1" width="12.77734375" bestFit="1" customWidth="1"/>
    <col min="2" max="2" width="15.44140625" bestFit="1" customWidth="1"/>
    <col min="3" max="3" width="15.44140625" customWidth="1"/>
    <col min="5" max="5" width="9.77734375" customWidth="1"/>
    <col min="6" max="6" width="16.6640625" customWidth="1"/>
    <col min="9" max="9" width="11.6640625" customWidth="1"/>
  </cols>
  <sheetData>
    <row r="1" spans="1:16">
      <c r="A1" s="2" t="s">
        <v>49</v>
      </c>
      <c r="B1" s="2" t="s">
        <v>48</v>
      </c>
      <c r="C1" s="2" t="s">
        <v>56</v>
      </c>
      <c r="D1" s="2" t="s">
        <v>47</v>
      </c>
      <c r="E1" s="2" t="s">
        <v>46</v>
      </c>
      <c r="F1" s="1" t="s">
        <v>45</v>
      </c>
      <c r="G1" s="2" t="s">
        <v>44</v>
      </c>
      <c r="H1" s="2" t="s">
        <v>43</v>
      </c>
      <c r="I1" s="2" t="s">
        <v>42</v>
      </c>
      <c r="J1" s="2" t="s">
        <v>41</v>
      </c>
      <c r="K1" s="2"/>
      <c r="N1" t="s">
        <v>463</v>
      </c>
    </row>
    <row r="2" spans="1:16" ht="86.4">
      <c r="A2" s="3" t="s">
        <v>50</v>
      </c>
      <c r="B2" s="3" t="s">
        <v>31</v>
      </c>
      <c r="C2" t="s">
        <v>65</v>
      </c>
      <c r="D2" s="3" t="s">
        <v>12</v>
      </c>
      <c r="E2" s="3" t="s">
        <v>30</v>
      </c>
      <c r="F2" s="5" t="s">
        <v>29</v>
      </c>
      <c r="G2" s="3" t="s">
        <v>71</v>
      </c>
      <c r="H2" s="3" t="s">
        <v>507</v>
      </c>
      <c r="I2" s="3" t="s">
        <v>1</v>
      </c>
      <c r="J2" s="3" t="s">
        <v>0</v>
      </c>
      <c r="K2" s="3"/>
      <c r="N2" s="14" t="s">
        <v>104</v>
      </c>
      <c r="P2" s="14" t="s">
        <v>103</v>
      </c>
    </row>
    <row r="3" spans="1:16" ht="57.6">
      <c r="A3" s="3" t="s">
        <v>119</v>
      </c>
      <c r="B3" s="3" t="s">
        <v>64</v>
      </c>
      <c r="C3" s="3" t="s">
        <v>65</v>
      </c>
      <c r="D3" s="3" t="s">
        <v>12</v>
      </c>
      <c r="E3" s="3" t="s">
        <v>19</v>
      </c>
      <c r="F3" s="4">
        <v>40000</v>
      </c>
      <c r="G3" s="3" t="s">
        <v>88</v>
      </c>
      <c r="H3" s="3" t="s">
        <v>69</v>
      </c>
      <c r="I3" s="3" t="s">
        <v>1</v>
      </c>
      <c r="J3" s="3" t="s">
        <v>0</v>
      </c>
      <c r="K3" s="3"/>
      <c r="N3" s="14" t="s">
        <v>103</v>
      </c>
      <c r="O3" s="15" t="s">
        <v>50</v>
      </c>
      <c r="P3" s="16" t="s">
        <v>119</v>
      </c>
    </row>
    <row r="4" spans="1:16" ht="57.6">
      <c r="A4" s="3" t="s">
        <v>114</v>
      </c>
      <c r="B4" s="3" t="s">
        <v>61</v>
      </c>
      <c r="C4" s="3" t="s">
        <v>61</v>
      </c>
      <c r="D4" s="3" t="s">
        <v>12</v>
      </c>
      <c r="E4" t="s">
        <v>11</v>
      </c>
      <c r="F4" s="5" t="s">
        <v>10</v>
      </c>
      <c r="G4" s="3" t="s">
        <v>83</v>
      </c>
      <c r="H4" s="3" t="s">
        <v>505</v>
      </c>
      <c r="I4" s="3" t="s">
        <v>1</v>
      </c>
      <c r="J4" s="3" t="s">
        <v>0</v>
      </c>
      <c r="K4" s="3"/>
      <c r="N4" s="14" t="s">
        <v>105</v>
      </c>
      <c r="O4" s="14" t="s">
        <v>107</v>
      </c>
      <c r="P4" s="15" t="s">
        <v>106</v>
      </c>
    </row>
    <row r="5" spans="1:16" ht="57.6">
      <c r="A5" s="8" t="s">
        <v>6</v>
      </c>
      <c r="B5" s="3" t="s">
        <v>57</v>
      </c>
      <c r="C5" s="3" t="s">
        <v>57</v>
      </c>
      <c r="D5" s="3" t="s">
        <v>4</v>
      </c>
      <c r="E5" s="3" t="s">
        <v>5</v>
      </c>
      <c r="F5" s="4">
        <v>10</v>
      </c>
      <c r="G5" s="3" t="s">
        <v>68</v>
      </c>
      <c r="H5" s="3" t="s">
        <v>90</v>
      </c>
      <c r="I5" s="3" t="s">
        <v>464</v>
      </c>
      <c r="J5" s="3" t="s">
        <v>465</v>
      </c>
      <c r="K5" s="3"/>
      <c r="N5" s="14" t="s">
        <v>6</v>
      </c>
      <c r="O5" s="16" t="s">
        <v>102</v>
      </c>
    </row>
    <row r="6" spans="1:16" ht="43.2">
      <c r="A6" s="8" t="s">
        <v>105</v>
      </c>
      <c r="B6" s="3" t="s">
        <v>31</v>
      </c>
      <c r="C6" s="3" t="s">
        <v>65</v>
      </c>
      <c r="D6" s="3" t="s">
        <v>4</v>
      </c>
      <c r="E6" s="3" t="s">
        <v>37</v>
      </c>
      <c r="F6" s="5">
        <v>40</v>
      </c>
      <c r="G6" s="3" t="s">
        <v>72</v>
      </c>
      <c r="H6" s="3" t="s">
        <v>487</v>
      </c>
      <c r="I6" s="3" t="s">
        <v>464</v>
      </c>
      <c r="J6" s="3" t="s">
        <v>465</v>
      </c>
      <c r="K6" s="3"/>
      <c r="N6" s="14" t="s">
        <v>107</v>
      </c>
      <c r="O6" s="15" t="s">
        <v>52</v>
      </c>
    </row>
    <row r="7" spans="1:16" ht="43.2">
      <c r="A7" s="8" t="s">
        <v>107</v>
      </c>
      <c r="B7" s="3" t="s">
        <v>60</v>
      </c>
      <c r="C7" s="3" t="s">
        <v>65</v>
      </c>
      <c r="D7" s="3" t="s">
        <v>4</v>
      </c>
      <c r="E7" s="3" t="s">
        <v>36</v>
      </c>
      <c r="F7" s="5">
        <v>100</v>
      </c>
      <c r="G7" s="3" t="s">
        <v>74</v>
      </c>
      <c r="H7" s="3" t="s">
        <v>72</v>
      </c>
      <c r="I7" s="3" t="s">
        <v>464</v>
      </c>
      <c r="J7" s="3" t="s">
        <v>465</v>
      </c>
      <c r="K7" s="3"/>
      <c r="N7" s="14" t="s">
        <v>108</v>
      </c>
      <c r="O7" s="15" t="s">
        <v>109</v>
      </c>
    </row>
    <row r="8" spans="1:16" ht="43.2">
      <c r="A8" s="8" t="s">
        <v>103</v>
      </c>
      <c r="B8" s="3" t="s">
        <v>58</v>
      </c>
      <c r="C8" s="3" t="s">
        <v>58</v>
      </c>
      <c r="D8" s="3" t="s">
        <v>4</v>
      </c>
      <c r="E8" s="3" t="s">
        <v>35</v>
      </c>
      <c r="F8" s="5" t="s">
        <v>34</v>
      </c>
      <c r="G8" s="3" t="s">
        <v>69</v>
      </c>
      <c r="H8" s="3" t="s">
        <v>70</v>
      </c>
      <c r="I8" s="3" t="s">
        <v>464</v>
      </c>
      <c r="J8" s="3" t="s">
        <v>465</v>
      </c>
      <c r="K8" s="3"/>
      <c r="N8" s="14" t="s">
        <v>116</v>
      </c>
      <c r="O8" s="15" t="s">
        <v>110</v>
      </c>
      <c r="P8" s="16" t="s">
        <v>115</v>
      </c>
    </row>
    <row r="9" spans="1:16" ht="28.8">
      <c r="A9" s="8" t="s">
        <v>104</v>
      </c>
      <c r="B9" s="3" t="s">
        <v>58</v>
      </c>
      <c r="C9" s="3" t="s">
        <v>58</v>
      </c>
      <c r="D9" s="3" t="s">
        <v>4</v>
      </c>
      <c r="E9" s="3" t="s">
        <v>33</v>
      </c>
      <c r="F9" s="5" t="s">
        <v>32</v>
      </c>
      <c r="G9" s="3" t="s">
        <v>70</v>
      </c>
      <c r="H9" s="3" t="s">
        <v>90</v>
      </c>
      <c r="I9" s="3" t="s">
        <v>464</v>
      </c>
      <c r="J9" s="3" t="s">
        <v>465</v>
      </c>
      <c r="K9" s="3"/>
      <c r="N9" s="14" t="s">
        <v>111</v>
      </c>
      <c r="O9" s="16" t="s">
        <v>53</v>
      </c>
    </row>
    <row r="10" spans="1:16" ht="28.8">
      <c r="A10" s="8" t="s">
        <v>108</v>
      </c>
      <c r="B10" s="3" t="s">
        <v>60</v>
      </c>
      <c r="C10" s="3" t="s">
        <v>65</v>
      </c>
      <c r="D10" s="3" t="s">
        <v>4</v>
      </c>
      <c r="E10" s="3" t="s">
        <v>28</v>
      </c>
      <c r="F10" s="4">
        <v>100</v>
      </c>
      <c r="G10" s="3" t="s">
        <v>75</v>
      </c>
      <c r="H10" s="3" t="s">
        <v>90</v>
      </c>
      <c r="I10" s="3" t="s">
        <v>464</v>
      </c>
      <c r="J10" s="3" t="s">
        <v>465</v>
      </c>
      <c r="K10" s="3"/>
      <c r="N10" s="17" t="s">
        <v>51</v>
      </c>
      <c r="O10" s="16" t="s">
        <v>113</v>
      </c>
    </row>
    <row r="11" spans="1:16" ht="43.2">
      <c r="A11" s="8" t="s">
        <v>116</v>
      </c>
      <c r="B11" s="3" t="s">
        <v>62</v>
      </c>
      <c r="C11" s="3" t="s">
        <v>62</v>
      </c>
      <c r="D11" s="3" t="s">
        <v>4</v>
      </c>
      <c r="E11" s="3" t="s">
        <v>24</v>
      </c>
      <c r="F11" s="4">
        <v>1000</v>
      </c>
      <c r="G11" s="3" t="s">
        <v>85</v>
      </c>
      <c r="H11" s="3" t="s">
        <v>90</v>
      </c>
      <c r="I11" s="3" t="s">
        <v>464</v>
      </c>
      <c r="J11" s="3" t="s">
        <v>465</v>
      </c>
      <c r="K11" s="3"/>
    </row>
    <row r="12" spans="1:16" ht="28.8">
      <c r="A12" s="8" t="s">
        <v>111</v>
      </c>
      <c r="B12" s="3" t="s">
        <v>60</v>
      </c>
      <c r="C12" s="3" t="s">
        <v>65</v>
      </c>
      <c r="D12" s="3" t="s">
        <v>4</v>
      </c>
      <c r="E12" s="3" t="s">
        <v>16</v>
      </c>
      <c r="F12" s="5" t="s">
        <v>15</v>
      </c>
      <c r="G12" s="3" t="s">
        <v>78</v>
      </c>
      <c r="H12" s="3" t="s">
        <v>90</v>
      </c>
      <c r="I12" s="3" t="s">
        <v>464</v>
      </c>
      <c r="J12" s="3" t="s">
        <v>465</v>
      </c>
      <c r="K12" s="3"/>
    </row>
    <row r="13" spans="1:16" ht="28.8">
      <c r="A13" s="9" t="s">
        <v>51</v>
      </c>
      <c r="B13" s="3" t="s">
        <v>62</v>
      </c>
      <c r="C13" s="3" t="s">
        <v>62</v>
      </c>
      <c r="D13" s="3" t="s">
        <v>4</v>
      </c>
      <c r="E13" s="3" t="s">
        <v>3</v>
      </c>
      <c r="F13" s="4">
        <v>10</v>
      </c>
      <c r="G13" s="3" t="s">
        <v>2</v>
      </c>
      <c r="H13" s="3" t="s">
        <v>90</v>
      </c>
      <c r="I13" s="3" t="s">
        <v>464</v>
      </c>
      <c r="J13" s="3" t="s">
        <v>465</v>
      </c>
      <c r="K13" s="3"/>
      <c r="N13" t="s">
        <v>477</v>
      </c>
    </row>
    <row r="14" spans="1:16" ht="115.2">
      <c r="A14" s="3" t="s">
        <v>106</v>
      </c>
      <c r="B14" s="3" t="s">
        <v>59</v>
      </c>
      <c r="C14" s="3" t="s">
        <v>65</v>
      </c>
      <c r="D14" s="3" t="s">
        <v>9</v>
      </c>
      <c r="E14" s="3" t="s">
        <v>40</v>
      </c>
      <c r="F14" s="5" t="s">
        <v>39</v>
      </c>
      <c r="G14" s="3" t="s">
        <v>73</v>
      </c>
      <c r="H14" s="3" t="s">
        <v>506</v>
      </c>
      <c r="I14" s="3" t="s">
        <v>1</v>
      </c>
      <c r="J14" s="3" t="s">
        <v>0</v>
      </c>
      <c r="K14" s="3"/>
      <c r="N14" t="s">
        <v>478</v>
      </c>
    </row>
    <row r="15" spans="1:16" ht="57.6">
      <c r="A15" s="3" t="s">
        <v>102</v>
      </c>
      <c r="B15" s="3" t="s">
        <v>57</v>
      </c>
      <c r="C15" s="3" t="s">
        <v>57</v>
      </c>
      <c r="D15" s="3" t="s">
        <v>9</v>
      </c>
      <c r="E15" s="3" t="s">
        <v>5</v>
      </c>
      <c r="F15" s="5" t="s">
        <v>38</v>
      </c>
      <c r="G15" s="3" t="s">
        <v>67</v>
      </c>
      <c r="H15" s="3" t="s">
        <v>89</v>
      </c>
      <c r="I15" s="3" t="s">
        <v>1</v>
      </c>
      <c r="J15" s="3" t="s">
        <v>0</v>
      </c>
      <c r="K15" s="3"/>
      <c r="N15" t="s">
        <v>479</v>
      </c>
    </row>
    <row r="16" spans="1:16" ht="86.4">
      <c r="A16" s="3" t="s">
        <v>109</v>
      </c>
      <c r="B16" s="3" t="s">
        <v>60</v>
      </c>
      <c r="C16" s="3" t="s">
        <v>65</v>
      </c>
      <c r="D16" s="3" t="s">
        <v>9</v>
      </c>
      <c r="E16" s="3" t="s">
        <v>27</v>
      </c>
      <c r="F16" s="5" t="s">
        <v>26</v>
      </c>
      <c r="G16" s="3" t="s">
        <v>76</v>
      </c>
      <c r="H16" s="3" t="s">
        <v>91</v>
      </c>
      <c r="I16" s="3" t="s">
        <v>1</v>
      </c>
      <c r="J16" s="3" t="s">
        <v>0</v>
      </c>
      <c r="K16" s="3"/>
      <c r="N16" t="s">
        <v>480</v>
      </c>
    </row>
    <row r="17" spans="1:14" ht="43.2">
      <c r="A17" s="3" t="s">
        <v>115</v>
      </c>
      <c r="B17" s="3" t="s">
        <v>62</v>
      </c>
      <c r="C17" s="3" t="s">
        <v>62</v>
      </c>
      <c r="D17" s="3" t="s">
        <v>9</v>
      </c>
      <c r="E17" s="3" t="s">
        <v>25</v>
      </c>
      <c r="F17" s="5" t="s">
        <v>13</v>
      </c>
      <c r="G17" s="3" t="s">
        <v>84</v>
      </c>
      <c r="H17" s="3" t="s">
        <v>97</v>
      </c>
      <c r="I17" s="3" t="s">
        <v>1</v>
      </c>
      <c r="J17" s="3" t="s">
        <v>0</v>
      </c>
      <c r="K17" s="3"/>
      <c r="N17" t="s">
        <v>481</v>
      </c>
    </row>
    <row r="18" spans="1:14" ht="72">
      <c r="A18" s="3" t="s">
        <v>117</v>
      </c>
      <c r="B18" s="3" t="s">
        <v>63</v>
      </c>
      <c r="C18" s="3" t="s">
        <v>63</v>
      </c>
      <c r="D18" s="3" t="s">
        <v>9</v>
      </c>
      <c r="E18" s="3" t="s">
        <v>23</v>
      </c>
      <c r="F18" s="5" t="s">
        <v>22</v>
      </c>
      <c r="G18" s="3" t="s">
        <v>86</v>
      </c>
      <c r="H18" s="3" t="s">
        <v>98</v>
      </c>
      <c r="I18" s="3" t="s">
        <v>1</v>
      </c>
      <c r="J18" s="3" t="s">
        <v>0</v>
      </c>
      <c r="K18" s="3"/>
      <c r="N18" t="s">
        <v>482</v>
      </c>
    </row>
    <row r="19" spans="1:14" ht="43.2">
      <c r="A19" s="3" t="s">
        <v>118</v>
      </c>
      <c r="B19" s="3" t="s">
        <v>63</v>
      </c>
      <c r="C19" s="3" t="s">
        <v>63</v>
      </c>
      <c r="D19" s="3" t="s">
        <v>9</v>
      </c>
      <c r="E19" s="3" t="s">
        <v>21</v>
      </c>
      <c r="F19" s="5" t="s">
        <v>20</v>
      </c>
      <c r="G19" s="3" t="s">
        <v>87</v>
      </c>
      <c r="H19" s="3" t="s">
        <v>88</v>
      </c>
      <c r="I19" s="3" t="s">
        <v>1</v>
      </c>
      <c r="J19" s="3" t="s">
        <v>0</v>
      </c>
      <c r="K19" s="3"/>
      <c r="N19" t="s">
        <v>483</v>
      </c>
    </row>
    <row r="20" spans="1:14" ht="28.8">
      <c r="A20" s="3" t="s">
        <v>110</v>
      </c>
      <c r="B20" s="3" t="s">
        <v>60</v>
      </c>
      <c r="C20" s="3" t="s">
        <v>66</v>
      </c>
      <c r="D20" s="3" t="s">
        <v>9</v>
      </c>
      <c r="E20" s="3" t="s">
        <v>18</v>
      </c>
      <c r="F20" s="5" t="s">
        <v>17</v>
      </c>
      <c r="G20" s="3" t="s">
        <v>77</v>
      </c>
      <c r="H20" t="s">
        <v>92</v>
      </c>
      <c r="I20" s="3" t="s">
        <v>1</v>
      </c>
      <c r="J20" s="3" t="s">
        <v>0</v>
      </c>
      <c r="K20" s="3"/>
      <c r="N20" t="s">
        <v>484</v>
      </c>
    </row>
    <row r="21" spans="1:14" ht="28.8">
      <c r="A21" s="3" t="s">
        <v>112</v>
      </c>
      <c r="B21" s="3" t="s">
        <v>60</v>
      </c>
      <c r="C21" s="3" t="s">
        <v>65</v>
      </c>
      <c r="D21" s="3" t="s">
        <v>9</v>
      </c>
      <c r="E21" s="3" t="s">
        <v>14</v>
      </c>
      <c r="F21" s="5" t="s">
        <v>13</v>
      </c>
      <c r="G21" s="3" t="s">
        <v>79</v>
      </c>
      <c r="H21" s="3" t="s">
        <v>93</v>
      </c>
      <c r="I21" s="3" t="s">
        <v>1</v>
      </c>
      <c r="J21" s="3" t="s">
        <v>0</v>
      </c>
      <c r="K21" s="3"/>
      <c r="N21" t="s">
        <v>485</v>
      </c>
    </row>
    <row r="22" spans="1:14" ht="172.8">
      <c r="A22" s="3" t="s">
        <v>120</v>
      </c>
      <c r="B22" s="3" t="s">
        <v>61</v>
      </c>
      <c r="C22" s="3" t="s">
        <v>61</v>
      </c>
      <c r="D22" s="3" t="s">
        <v>9</v>
      </c>
      <c r="E22" s="3" t="s">
        <v>99</v>
      </c>
      <c r="F22" s="4">
        <v>1000</v>
      </c>
      <c r="G22" s="3" t="s">
        <v>100</v>
      </c>
      <c r="H22" s="3" t="s">
        <v>101</v>
      </c>
      <c r="I22" s="3" t="s">
        <v>1</v>
      </c>
      <c r="J22" s="3" t="s">
        <v>0</v>
      </c>
      <c r="K22" s="3"/>
      <c r="N22" t="s">
        <v>486</v>
      </c>
    </row>
    <row r="23" spans="1:14" ht="57.6">
      <c r="A23" s="3" t="s">
        <v>113</v>
      </c>
      <c r="B23" s="3" t="s">
        <v>60</v>
      </c>
      <c r="C23" s="3" t="s">
        <v>61</v>
      </c>
      <c r="D23" s="3" t="s">
        <v>9</v>
      </c>
      <c r="E23" s="3" t="s">
        <v>8</v>
      </c>
      <c r="F23" s="5" t="s">
        <v>7</v>
      </c>
      <c r="G23" s="3" t="s">
        <v>80</v>
      </c>
      <c r="H23" t="s">
        <v>94</v>
      </c>
      <c r="I23" s="3" t="s">
        <v>1</v>
      </c>
      <c r="J23" s="3" t="s">
        <v>0</v>
      </c>
      <c r="K23" s="3"/>
    </row>
    <row r="24" spans="1:14" ht="43.2">
      <c r="A24" s="3" t="s">
        <v>52</v>
      </c>
      <c r="B24" s="3" t="s">
        <v>60</v>
      </c>
      <c r="C24" s="3" t="s">
        <v>65</v>
      </c>
      <c r="D24" s="3" t="s">
        <v>9</v>
      </c>
      <c r="E24" s="3" t="s">
        <v>54</v>
      </c>
      <c r="F24" s="4">
        <v>1000000</v>
      </c>
      <c r="G24" s="3" t="s">
        <v>81</v>
      </c>
      <c r="H24" s="3" t="s">
        <v>95</v>
      </c>
      <c r="I24" s="3" t="s">
        <v>1</v>
      </c>
      <c r="J24" s="3" t="s">
        <v>0</v>
      </c>
      <c r="K24" s="3"/>
    </row>
    <row r="25" spans="1:14" ht="57.6">
      <c r="A25" s="3" t="s">
        <v>53</v>
      </c>
      <c r="B25" s="3" t="s">
        <v>60</v>
      </c>
      <c r="C25" s="3" t="s">
        <v>65</v>
      </c>
      <c r="D25" s="3" t="s">
        <v>9</v>
      </c>
      <c r="E25" s="3" t="s">
        <v>55</v>
      </c>
      <c r="F25" s="4">
        <v>500000</v>
      </c>
      <c r="G25" s="3" t="s">
        <v>82</v>
      </c>
      <c r="H25" s="3" t="s">
        <v>96</v>
      </c>
      <c r="I25" s="3" t="s">
        <v>1</v>
      </c>
      <c r="J25" s="3" t="s">
        <v>0</v>
      </c>
      <c r="K25" s="3"/>
    </row>
    <row r="26" spans="1:14" ht="129.6">
      <c r="A26" s="3" t="s">
        <v>495</v>
      </c>
      <c r="B26" s="3" t="s">
        <v>31</v>
      </c>
      <c r="C26" s="3" t="s">
        <v>65</v>
      </c>
      <c r="D26" s="3" t="s">
        <v>4</v>
      </c>
      <c r="E26" s="3" t="s">
        <v>496</v>
      </c>
      <c r="F26" s="4">
        <v>6</v>
      </c>
      <c r="G26" s="3" t="s">
        <v>497</v>
      </c>
      <c r="H26" s="3" t="s">
        <v>498</v>
      </c>
      <c r="I26" s="3" t="s">
        <v>1</v>
      </c>
      <c r="J26" s="3" t="s">
        <v>0</v>
      </c>
    </row>
    <row r="27" spans="1:14" ht="86.4">
      <c r="A27" s="3" t="s">
        <v>499</v>
      </c>
      <c r="B27" s="3" t="s">
        <v>60</v>
      </c>
      <c r="C27" s="3" t="s">
        <v>65</v>
      </c>
      <c r="D27" s="3" t="s">
        <v>4</v>
      </c>
      <c r="E27" s="3" t="s">
        <v>500</v>
      </c>
      <c r="F27" s="4">
        <v>10</v>
      </c>
      <c r="G27" s="3" t="s">
        <v>501</v>
      </c>
      <c r="H27" s="3" t="s">
        <v>498</v>
      </c>
      <c r="I27" s="3" t="s">
        <v>1</v>
      </c>
      <c r="J27" s="3" t="s">
        <v>0</v>
      </c>
    </row>
    <row r="28" spans="1:14" ht="86.4">
      <c r="A28" s="3" t="s">
        <v>502</v>
      </c>
      <c r="B28" s="3" t="s">
        <v>61</v>
      </c>
      <c r="C28" s="3" t="s">
        <v>61</v>
      </c>
      <c r="D28" s="3" t="s">
        <v>4</v>
      </c>
      <c r="E28" s="3" t="s">
        <v>503</v>
      </c>
      <c r="F28" s="4">
        <v>25</v>
      </c>
      <c r="G28" s="3" t="s">
        <v>504</v>
      </c>
      <c r="H28" s="3" t="s">
        <v>498</v>
      </c>
      <c r="I28" s="3" t="s">
        <v>1</v>
      </c>
      <c r="J28" s="3" t="s"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D271C-FB33-4030-849F-7155AED7D4ED}">
  <dimension ref="A1:D9"/>
  <sheetViews>
    <sheetView workbookViewId="0">
      <selection activeCell="A9" sqref="A9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t="s">
        <v>70</v>
      </c>
      <c r="B2" s="3" t="s">
        <v>126</v>
      </c>
      <c r="C2" s="3" t="s">
        <v>127</v>
      </c>
      <c r="D2" s="3" t="s">
        <v>128</v>
      </c>
    </row>
    <row r="3" spans="1:4" ht="28.8">
      <c r="A3" t="s">
        <v>547</v>
      </c>
      <c r="B3" s="3" t="s">
        <v>129</v>
      </c>
      <c r="C3" s="3" t="s">
        <v>130</v>
      </c>
      <c r="D3" s="3" t="s">
        <v>131</v>
      </c>
    </row>
    <row r="4" spans="1:4" ht="28.8">
      <c r="A4" t="s">
        <v>538</v>
      </c>
      <c r="B4" s="3" t="s">
        <v>129</v>
      </c>
      <c r="C4" s="3" t="s">
        <v>132</v>
      </c>
      <c r="D4" s="3" t="s">
        <v>133</v>
      </c>
    </row>
    <row r="5" spans="1:4" ht="28.8">
      <c r="A5" t="s">
        <v>539</v>
      </c>
      <c r="B5" s="3" t="s">
        <v>134</v>
      </c>
      <c r="C5" s="3" t="s">
        <v>135</v>
      </c>
      <c r="D5" s="3" t="s">
        <v>136</v>
      </c>
    </row>
    <row r="6" spans="1:4" ht="28.8">
      <c r="A6" t="s">
        <v>540</v>
      </c>
      <c r="B6" s="3" t="s">
        <v>126</v>
      </c>
      <c r="C6" s="3" t="s">
        <v>137</v>
      </c>
      <c r="D6" s="6">
        <v>1850000</v>
      </c>
    </row>
    <row r="7" spans="1:4" ht="57.6">
      <c r="A7" t="s">
        <v>543</v>
      </c>
      <c r="B7" s="3" t="s">
        <v>138</v>
      </c>
      <c r="C7" s="3" t="s">
        <v>139</v>
      </c>
      <c r="D7" s="7">
        <v>18482.5</v>
      </c>
    </row>
    <row r="8" spans="1:4" ht="43.2">
      <c r="A8" t="s">
        <v>541</v>
      </c>
      <c r="B8" s="3" t="s">
        <v>134</v>
      </c>
      <c r="C8" s="3" t="s">
        <v>140</v>
      </c>
      <c r="D8" s="3" t="s">
        <v>141</v>
      </c>
    </row>
    <row r="9" spans="1:4" ht="43.2">
      <c r="A9" t="s">
        <v>542</v>
      </c>
      <c r="B9" s="3" t="s">
        <v>143</v>
      </c>
      <c r="C9" s="3" t="s">
        <v>144</v>
      </c>
      <c r="D9" s="3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BA5CF-4B04-46B7-B7C4-4AED541545EE}">
  <dimension ref="A1:F9"/>
  <sheetViews>
    <sheetView workbookViewId="0">
      <selection activeCell="A7" sqref="A7"/>
    </sheetView>
  </sheetViews>
  <sheetFormatPr defaultRowHeight="14.4"/>
  <cols>
    <col min="1" max="1" width="12" bestFit="1" customWidth="1"/>
    <col min="2" max="2" width="11.33203125" customWidth="1"/>
    <col min="3" max="3" width="12.33203125" customWidth="1"/>
    <col min="4" max="4" width="24.5546875" customWidth="1"/>
  </cols>
  <sheetData>
    <row r="1" spans="1:6">
      <c r="A1" s="2" t="s">
        <v>121</v>
      </c>
      <c r="B1" s="2" t="s">
        <v>122</v>
      </c>
      <c r="C1" s="2" t="s">
        <v>123</v>
      </c>
      <c r="D1" s="2" t="s">
        <v>124</v>
      </c>
    </row>
    <row r="2" spans="1:6" ht="43.2">
      <c r="A2" s="3" t="s">
        <v>69</v>
      </c>
      <c r="B2" s="3" t="s">
        <v>126</v>
      </c>
      <c r="C2" s="3" t="s">
        <v>146</v>
      </c>
      <c r="D2" s="3">
        <v>101</v>
      </c>
      <c r="F2" t="str">
        <f>LOWER(الجدول3[[#This Row],[Column]])</f>
        <v>district_id</v>
      </c>
    </row>
    <row r="3" spans="1:6" ht="28.8">
      <c r="A3" s="3" t="s">
        <v>70</v>
      </c>
      <c r="B3" s="3" t="s">
        <v>147</v>
      </c>
      <c r="C3" s="3" t="s">
        <v>148</v>
      </c>
      <c r="D3" s="3">
        <v>3</v>
      </c>
      <c r="F3" t="str">
        <f>LOWER(الجدول3[[#This Row],[Column]])</f>
        <v>governorate_id</v>
      </c>
    </row>
    <row r="4" spans="1:6">
      <c r="A4" s="3" t="s">
        <v>546</v>
      </c>
      <c r="B4" s="3" t="s">
        <v>129</v>
      </c>
      <c r="C4" s="3" t="s">
        <v>149</v>
      </c>
      <c r="D4" s="3" t="s">
        <v>150</v>
      </c>
      <c r="F4" t="str">
        <f>LOWER(الجدول3[[#This Row],[Column]])</f>
        <v>district</v>
      </c>
    </row>
    <row r="5" spans="1:6" ht="43.2">
      <c r="A5" s="3" t="s">
        <v>540</v>
      </c>
      <c r="B5" s="3" t="s">
        <v>126</v>
      </c>
      <c r="C5" s="3" t="s">
        <v>151</v>
      </c>
      <c r="D5" s="6">
        <v>210000</v>
      </c>
      <c r="F5" t="str">
        <f>LOWER(الجدول3[[#This Row],[Column]])</f>
        <v>population</v>
      </c>
    </row>
    <row r="6" spans="1:6">
      <c r="A6" s="3" t="s">
        <v>543</v>
      </c>
      <c r="B6" s="3" t="s">
        <v>138</v>
      </c>
      <c r="C6" s="3" t="s">
        <v>152</v>
      </c>
      <c r="D6" s="3">
        <v>980.4</v>
      </c>
      <c r="F6" t="str">
        <f>LOWER(الجدول3[[#This Row],[Column]])</f>
        <v>area</v>
      </c>
    </row>
    <row r="7" spans="1:6" ht="43.2">
      <c r="A7" s="3" t="s">
        <v>544</v>
      </c>
      <c r="B7" s="3" t="s">
        <v>138</v>
      </c>
      <c r="C7" s="3" t="s">
        <v>154</v>
      </c>
      <c r="D7" s="3">
        <v>36.512</v>
      </c>
      <c r="F7" t="str">
        <f>LOWER(الجدول3[[#This Row],[Column]])</f>
        <v>latitude</v>
      </c>
    </row>
    <row r="8" spans="1:6" ht="43.2">
      <c r="A8" s="3" t="s">
        <v>545</v>
      </c>
      <c r="B8" s="3" t="s">
        <v>138</v>
      </c>
      <c r="C8" s="3" t="s">
        <v>156</v>
      </c>
      <c r="D8" s="3">
        <v>36.866999999999997</v>
      </c>
      <c r="F8" t="str">
        <f>LOWER(الجدول3[[#This Row],[Column]])</f>
        <v>longitude</v>
      </c>
    </row>
    <row r="9" spans="1:6">
      <c r="A9" s="3" t="s">
        <v>542</v>
      </c>
      <c r="B9" s="3" t="s">
        <v>143</v>
      </c>
      <c r="C9" s="3" t="s">
        <v>157</v>
      </c>
      <c r="D9" s="3" t="b">
        <v>1</v>
      </c>
      <c r="F9" t="str">
        <f>LOWER(الجدول3[[#This Row],[Column]])</f>
        <v>is_active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6A09D-7066-49BE-87B9-54DECAD1F140}">
  <dimension ref="A1:F7"/>
  <sheetViews>
    <sheetView workbookViewId="0">
      <selection activeCell="A7" sqref="A7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6">
      <c r="A1" s="2" t="s">
        <v>121</v>
      </c>
      <c r="B1" s="2" t="s">
        <v>122</v>
      </c>
      <c r="C1" s="2" t="s">
        <v>123</v>
      </c>
      <c r="D1" s="2" t="s">
        <v>124</v>
      </c>
    </row>
    <row r="2" spans="1:6" ht="43.2">
      <c r="A2" s="3" t="s">
        <v>72</v>
      </c>
      <c r="B2" s="3" t="s">
        <v>129</v>
      </c>
      <c r="C2" s="3" t="s">
        <v>158</v>
      </c>
      <c r="D2" s="3" t="s">
        <v>472</v>
      </c>
      <c r="F2" t="str">
        <f>LOWER(الجدول4[[#This Row],[Column]])</f>
        <v>department_id</v>
      </c>
    </row>
    <row r="3" spans="1:6" ht="43.2">
      <c r="A3" s="3" t="s">
        <v>550</v>
      </c>
      <c r="B3" s="3" t="s">
        <v>129</v>
      </c>
      <c r="C3" s="3" t="s">
        <v>159</v>
      </c>
      <c r="D3" s="3" t="s">
        <v>160</v>
      </c>
      <c r="F3" t="str">
        <f>LOWER(الجدول4[[#This Row],[Column]])</f>
        <v>department</v>
      </c>
    </row>
    <row r="4" spans="1:6" ht="43.2">
      <c r="A4" s="3" t="s">
        <v>548</v>
      </c>
      <c r="B4" s="3" t="s">
        <v>134</v>
      </c>
      <c r="C4" s="3" t="s">
        <v>161</v>
      </c>
      <c r="D4" s="3" t="s">
        <v>162</v>
      </c>
      <c r="F4" t="str">
        <f>LOWER(الجدول4[[#This Row],[Column]])</f>
        <v>service_category</v>
      </c>
    </row>
    <row r="5" spans="1:6" ht="57.6">
      <c r="A5" s="13" t="s">
        <v>497</v>
      </c>
      <c r="B5" s="13" t="s">
        <v>471</v>
      </c>
      <c r="C5" s="13" t="s">
        <v>488</v>
      </c>
      <c r="D5" s="13" t="s">
        <v>489</v>
      </c>
      <c r="F5" t="str">
        <f>LOWER(الجدول4[[#This Row],[Column]])</f>
        <v>facility_type_id</v>
      </c>
    </row>
    <row r="6" spans="1:6" ht="43.2">
      <c r="A6" s="3" t="s">
        <v>549</v>
      </c>
      <c r="B6" s="3" t="s">
        <v>129</v>
      </c>
      <c r="C6" s="3" t="s">
        <v>164</v>
      </c>
      <c r="D6" s="3" t="s">
        <v>165</v>
      </c>
      <c r="F6" t="str">
        <f>LOWER(الجدول4[[#This Row],[Column]])</f>
        <v>description</v>
      </c>
    </row>
    <row r="7" spans="1:6" ht="28.8">
      <c r="A7" s="3" t="s">
        <v>542</v>
      </c>
      <c r="B7" s="3" t="s">
        <v>143</v>
      </c>
      <c r="C7" s="3" t="s">
        <v>166</v>
      </c>
      <c r="D7" s="3" t="b">
        <v>1</v>
      </c>
      <c r="F7" t="str">
        <f>LOWER(الجدول4[[#This Row],[Column]])</f>
        <v>is_active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7FE78-6EF3-4957-80D6-4E114524AADF}">
  <dimension ref="A1:H10"/>
  <sheetViews>
    <sheetView workbookViewId="0">
      <selection activeCell="F2" sqref="F2:I11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8">
      <c r="A1" s="2" t="s">
        <v>121</v>
      </c>
      <c r="B1" s="2" t="s">
        <v>122</v>
      </c>
      <c r="C1" s="2" t="s">
        <v>123</v>
      </c>
      <c r="D1" s="2" t="s">
        <v>124</v>
      </c>
    </row>
    <row r="2" spans="1:8" ht="43.2">
      <c r="A2" s="3" t="s">
        <v>551</v>
      </c>
      <c r="B2" s="3" t="s">
        <v>129</v>
      </c>
      <c r="C2" s="3" t="s">
        <v>167</v>
      </c>
      <c r="D2" s="3" t="s">
        <v>466</v>
      </c>
    </row>
    <row r="3" spans="1:8" ht="43.2">
      <c r="A3" s="3" t="s">
        <v>552</v>
      </c>
      <c r="B3" s="3" t="s">
        <v>129</v>
      </c>
      <c r="C3" s="3" t="s">
        <v>467</v>
      </c>
      <c r="D3" s="3" t="s">
        <v>168</v>
      </c>
    </row>
    <row r="4" spans="1:8" ht="28.8">
      <c r="A4" s="3" t="s">
        <v>557</v>
      </c>
      <c r="B4" s="3" t="s">
        <v>129</v>
      </c>
      <c r="C4" s="3" t="s">
        <v>468</v>
      </c>
      <c r="D4" s="3" t="s">
        <v>169</v>
      </c>
    </row>
    <row r="5" spans="1:8" ht="72">
      <c r="A5" s="3" t="s">
        <v>553</v>
      </c>
      <c r="B5" s="3" t="s">
        <v>134</v>
      </c>
      <c r="C5" s="3" t="s">
        <v>469</v>
      </c>
      <c r="D5" s="3" t="s">
        <v>470</v>
      </c>
      <c r="H5" s="18"/>
    </row>
    <row r="6" spans="1:8" ht="43.2">
      <c r="A6" s="3" t="s">
        <v>72</v>
      </c>
      <c r="B6" s="3" t="s">
        <v>471</v>
      </c>
      <c r="C6" s="3" t="s">
        <v>170</v>
      </c>
      <c r="D6" s="3" t="s">
        <v>472</v>
      </c>
    </row>
    <row r="7" spans="1:8" ht="72">
      <c r="A7" s="3" t="s">
        <v>554</v>
      </c>
      <c r="B7" s="3" t="s">
        <v>134</v>
      </c>
      <c r="C7" s="3" t="s">
        <v>171</v>
      </c>
      <c r="D7" s="3" t="s">
        <v>473</v>
      </c>
    </row>
    <row r="8" spans="1:8" ht="43.2">
      <c r="A8" s="3" t="s">
        <v>555</v>
      </c>
      <c r="B8" s="3" t="s">
        <v>134</v>
      </c>
      <c r="C8" s="3" t="s">
        <v>474</v>
      </c>
      <c r="D8" s="3" t="s">
        <v>173</v>
      </c>
    </row>
    <row r="9" spans="1:8" ht="43.2">
      <c r="A9" s="3" t="s">
        <v>556</v>
      </c>
      <c r="B9" s="3" t="s">
        <v>143</v>
      </c>
      <c r="C9" s="3" t="s">
        <v>475</v>
      </c>
      <c r="D9" s="3" t="b">
        <v>1</v>
      </c>
    </row>
    <row r="10" spans="1:8" ht="43.2">
      <c r="A10" s="3" t="s">
        <v>542</v>
      </c>
      <c r="B10" s="3" t="s">
        <v>143</v>
      </c>
      <c r="C10" s="3" t="s">
        <v>476</v>
      </c>
      <c r="D10" s="3" t="b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E2240-1AE9-4A65-93A3-6AB5254C97F5}">
  <dimension ref="A1:D8"/>
  <sheetViews>
    <sheetView workbookViewId="0">
      <selection activeCell="F7" sqref="F7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78</v>
      </c>
      <c r="B2" s="3" t="s">
        <v>129</v>
      </c>
      <c r="C2" s="3" t="s">
        <v>174</v>
      </c>
      <c r="D2" s="3" t="s">
        <v>175</v>
      </c>
    </row>
    <row r="3" spans="1:4" ht="43.2">
      <c r="A3" s="3" t="s">
        <v>558</v>
      </c>
      <c r="B3" s="3" t="s">
        <v>129</v>
      </c>
      <c r="C3" s="3" t="s">
        <v>174</v>
      </c>
      <c r="D3" s="19" t="s">
        <v>562</v>
      </c>
    </row>
    <row r="4" spans="1:4" ht="28.8">
      <c r="A4" s="3" t="s">
        <v>561</v>
      </c>
      <c r="B4" s="3" t="s">
        <v>129</v>
      </c>
      <c r="C4" s="3" t="s">
        <v>176</v>
      </c>
      <c r="D4" s="3" t="s">
        <v>177</v>
      </c>
    </row>
    <row r="5" spans="1:4" ht="57.6">
      <c r="A5" s="3" t="s">
        <v>72</v>
      </c>
      <c r="B5" s="3" t="s">
        <v>147</v>
      </c>
      <c r="C5" s="3" t="s">
        <v>178</v>
      </c>
      <c r="D5" s="3">
        <v>7</v>
      </c>
    </row>
    <row r="6" spans="1:4" ht="28.8">
      <c r="A6" s="3" t="s">
        <v>559</v>
      </c>
      <c r="B6" s="3" t="s">
        <v>134</v>
      </c>
      <c r="C6" s="3" t="s">
        <v>179</v>
      </c>
      <c r="D6" s="3" t="s">
        <v>180</v>
      </c>
    </row>
    <row r="7" spans="1:4" ht="43.2">
      <c r="A7" s="3" t="s">
        <v>560</v>
      </c>
      <c r="B7" s="3" t="s">
        <v>126</v>
      </c>
      <c r="C7" s="3" t="s">
        <v>181</v>
      </c>
      <c r="D7" s="3">
        <v>20</v>
      </c>
    </row>
    <row r="8" spans="1:4" ht="28.8">
      <c r="A8" s="3" t="s">
        <v>542</v>
      </c>
      <c r="B8" s="3" t="s">
        <v>143</v>
      </c>
      <c r="C8" s="3" t="s">
        <v>182</v>
      </c>
      <c r="D8" s="3" t="b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E4DA-F22A-4568-B610-F38AE32D85F8}">
  <dimension ref="A1:D8"/>
  <sheetViews>
    <sheetView workbookViewId="0">
      <selection activeCell="C3" sqref="C3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563</v>
      </c>
      <c r="B2" s="3" t="s">
        <v>126</v>
      </c>
      <c r="C2" s="3" t="s">
        <v>183</v>
      </c>
      <c r="D2" s="3">
        <v>35</v>
      </c>
    </row>
    <row r="3" spans="1:4" ht="28.8">
      <c r="A3" s="3" t="s">
        <v>564</v>
      </c>
      <c r="B3" s="3" t="s">
        <v>129</v>
      </c>
      <c r="C3" s="3" t="s">
        <v>184</v>
      </c>
      <c r="D3" s="3" t="s">
        <v>185</v>
      </c>
    </row>
    <row r="4" spans="1:4" ht="28.8">
      <c r="A4" s="3" t="s">
        <v>565</v>
      </c>
      <c r="B4" s="3" t="s">
        <v>134</v>
      </c>
      <c r="C4" s="3" t="s">
        <v>186</v>
      </c>
      <c r="D4" s="3" t="s">
        <v>187</v>
      </c>
    </row>
    <row r="5" spans="1:4" ht="28.8">
      <c r="A5" s="3" t="s">
        <v>566</v>
      </c>
      <c r="B5" s="3" t="s">
        <v>129</v>
      </c>
      <c r="C5" s="3" t="s">
        <v>188</v>
      </c>
      <c r="D5" s="3" t="s">
        <v>189</v>
      </c>
    </row>
    <row r="6" spans="1:4" ht="28.8">
      <c r="A6" s="3" t="s">
        <v>567</v>
      </c>
      <c r="B6" s="3" t="s">
        <v>129</v>
      </c>
      <c r="C6" s="3" t="s">
        <v>190</v>
      </c>
      <c r="D6" s="3" t="s">
        <v>191</v>
      </c>
    </row>
    <row r="7" spans="1:4" ht="43.2">
      <c r="A7" s="3" t="s">
        <v>568</v>
      </c>
      <c r="B7" s="3" t="s">
        <v>138</v>
      </c>
      <c r="C7" s="3" t="s">
        <v>192</v>
      </c>
      <c r="D7" s="3">
        <v>2.5</v>
      </c>
    </row>
    <row r="8" spans="1:4" ht="28.8">
      <c r="A8" s="3" t="s">
        <v>542</v>
      </c>
      <c r="B8" s="3" t="s">
        <v>143</v>
      </c>
      <c r="C8" s="3" t="s">
        <v>193</v>
      </c>
      <c r="D8" s="3" t="b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0C75E-4C56-4644-A15F-E8B7C932E256}">
  <dimension ref="A1:D10"/>
  <sheetViews>
    <sheetView workbookViewId="0">
      <selection activeCell="F2" sqref="F2:F3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85</v>
      </c>
      <c r="B2" s="3" t="s">
        <v>126</v>
      </c>
      <c r="C2" s="3" t="s">
        <v>194</v>
      </c>
      <c r="D2" s="3">
        <v>501</v>
      </c>
    </row>
    <row r="3" spans="1:4" ht="43.2">
      <c r="A3" s="3" t="s">
        <v>569</v>
      </c>
      <c r="B3" s="3" t="s">
        <v>129</v>
      </c>
      <c r="C3" s="3" t="s">
        <v>195</v>
      </c>
      <c r="D3" s="3" t="s">
        <v>196</v>
      </c>
    </row>
    <row r="4" spans="1:4" ht="28.8">
      <c r="A4" s="3" t="s">
        <v>570</v>
      </c>
      <c r="B4" s="3" t="s">
        <v>129</v>
      </c>
      <c r="C4" s="3" t="s">
        <v>197</v>
      </c>
      <c r="D4" s="3" t="s">
        <v>198</v>
      </c>
    </row>
    <row r="5" spans="1:4" ht="28.8">
      <c r="A5" s="3" t="s">
        <v>571</v>
      </c>
      <c r="B5" s="3" t="s">
        <v>134</v>
      </c>
      <c r="C5" s="3" t="s">
        <v>199</v>
      </c>
      <c r="D5" s="3" t="s">
        <v>200</v>
      </c>
    </row>
    <row r="6" spans="1:4" ht="28.8">
      <c r="A6" s="3" t="s">
        <v>572</v>
      </c>
      <c r="B6" s="3" t="s">
        <v>134</v>
      </c>
      <c r="C6" s="3" t="s">
        <v>201</v>
      </c>
      <c r="D6" s="3" t="s">
        <v>202</v>
      </c>
    </row>
    <row r="7" spans="1:4">
      <c r="A7" s="3" t="s">
        <v>573</v>
      </c>
      <c r="B7" s="3" t="s">
        <v>129</v>
      </c>
      <c r="C7" s="3" t="s">
        <v>203</v>
      </c>
      <c r="D7" s="3" t="s">
        <v>204</v>
      </c>
    </row>
    <row r="8" spans="1:4" ht="28.8">
      <c r="A8" s="3" t="s">
        <v>566</v>
      </c>
      <c r="B8" s="3" t="s">
        <v>129</v>
      </c>
      <c r="C8" s="3" t="s">
        <v>205</v>
      </c>
      <c r="D8" s="3" t="s">
        <v>206</v>
      </c>
    </row>
    <row r="9" spans="1:4" ht="43.2">
      <c r="A9" s="3" t="s">
        <v>574</v>
      </c>
      <c r="B9" s="3" t="s">
        <v>143</v>
      </c>
      <c r="C9" s="3" t="s">
        <v>207</v>
      </c>
      <c r="D9" s="3" t="b">
        <v>1</v>
      </c>
    </row>
    <row r="10" spans="1:4" ht="28.8">
      <c r="A10" s="3" t="s">
        <v>542</v>
      </c>
      <c r="B10" s="3" t="s">
        <v>143</v>
      </c>
      <c r="C10" s="3" t="s">
        <v>208</v>
      </c>
      <c r="D10" s="3" t="b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FCD24-9B55-4511-8A41-40BC40E425ED}">
  <dimension ref="A1:D8"/>
  <sheetViews>
    <sheetView workbookViewId="0">
      <selection activeCell="G8" sqref="G8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575</v>
      </c>
      <c r="B2" s="3" t="s">
        <v>126</v>
      </c>
      <c r="C2" s="3" t="s">
        <v>209</v>
      </c>
      <c r="D2" s="3">
        <v>8</v>
      </c>
    </row>
    <row r="3" spans="1:4" ht="28.8">
      <c r="A3" s="3" t="s">
        <v>576</v>
      </c>
      <c r="B3" s="3" t="s">
        <v>129</v>
      </c>
      <c r="C3" s="3" t="s">
        <v>210</v>
      </c>
      <c r="D3" s="3" t="s">
        <v>211</v>
      </c>
    </row>
    <row r="4" spans="1:4" ht="28.8">
      <c r="A4" s="3" t="s">
        <v>577</v>
      </c>
      <c r="B4" s="3" t="s">
        <v>129</v>
      </c>
      <c r="C4" s="3" t="s">
        <v>212</v>
      </c>
      <c r="D4" s="3" t="s">
        <v>213</v>
      </c>
    </row>
    <row r="5" spans="1:4" ht="28.8">
      <c r="A5" s="3" t="s">
        <v>578</v>
      </c>
      <c r="B5" s="3" t="s">
        <v>134</v>
      </c>
      <c r="C5" s="3" t="s">
        <v>214</v>
      </c>
      <c r="D5" s="3" t="s">
        <v>215</v>
      </c>
    </row>
    <row r="6" spans="1:4" ht="28.8">
      <c r="A6" s="3" t="s">
        <v>579</v>
      </c>
      <c r="B6" s="3" t="s">
        <v>126</v>
      </c>
      <c r="C6" s="3" t="s">
        <v>216</v>
      </c>
      <c r="D6" s="3">
        <v>1</v>
      </c>
    </row>
    <row r="7" spans="1:4" ht="28.8">
      <c r="A7" s="3" t="s">
        <v>580</v>
      </c>
      <c r="B7" s="3" t="s">
        <v>129</v>
      </c>
      <c r="C7" s="3" t="s">
        <v>217</v>
      </c>
      <c r="D7" s="3" t="s">
        <v>218</v>
      </c>
    </row>
    <row r="8" spans="1:4" ht="28.8">
      <c r="A8" s="3" t="s">
        <v>542</v>
      </c>
      <c r="B8" s="3" t="s">
        <v>143</v>
      </c>
      <c r="C8" s="3" t="s">
        <v>219</v>
      </c>
      <c r="D8" s="3" t="b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F77BF-9887-41E3-86EF-3B55F9152013}">
  <dimension ref="A1:D8"/>
  <sheetViews>
    <sheetView workbookViewId="0">
      <selection activeCell="F2" sqref="F2:F4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57.6">
      <c r="A2" s="3" t="s">
        <v>581</v>
      </c>
      <c r="B2" s="3" t="s">
        <v>126</v>
      </c>
      <c r="C2" s="3" t="s">
        <v>220</v>
      </c>
      <c r="D2" s="3">
        <v>4</v>
      </c>
    </row>
    <row r="3" spans="1:4" ht="28.8">
      <c r="A3" s="3" t="s">
        <v>582</v>
      </c>
      <c r="B3" s="3" t="s">
        <v>129</v>
      </c>
      <c r="C3" s="3" t="s">
        <v>221</v>
      </c>
      <c r="D3" s="3" t="s">
        <v>222</v>
      </c>
    </row>
    <row r="4" spans="1:4" ht="28.8">
      <c r="A4" s="3" t="s">
        <v>583</v>
      </c>
      <c r="B4" s="3" t="s">
        <v>134</v>
      </c>
      <c r="C4" s="3" t="s">
        <v>223</v>
      </c>
      <c r="D4" s="3" t="s">
        <v>224</v>
      </c>
    </row>
    <row r="5" spans="1:4" ht="28.8">
      <c r="A5" s="3" t="s">
        <v>584</v>
      </c>
      <c r="B5" s="3" t="s">
        <v>134</v>
      </c>
      <c r="C5" s="3" t="s">
        <v>225</v>
      </c>
      <c r="D5" s="3" t="s">
        <v>226</v>
      </c>
    </row>
    <row r="6" spans="1:4" ht="43.2">
      <c r="A6" s="3" t="s">
        <v>585</v>
      </c>
      <c r="B6" s="3" t="s">
        <v>126</v>
      </c>
      <c r="C6" s="3" t="s">
        <v>227</v>
      </c>
      <c r="D6" s="3">
        <v>7</v>
      </c>
    </row>
    <row r="7" spans="1:4" ht="43.2">
      <c r="A7" s="3" t="s">
        <v>586</v>
      </c>
      <c r="B7" s="3" t="s">
        <v>143</v>
      </c>
      <c r="C7" s="3" t="s">
        <v>228</v>
      </c>
      <c r="D7" s="3" t="b">
        <v>1</v>
      </c>
    </row>
    <row r="8" spans="1:4" ht="28.8">
      <c r="A8" s="3" t="s">
        <v>542</v>
      </c>
      <c r="B8" s="3" t="s">
        <v>143</v>
      </c>
      <c r="C8" s="3" t="s">
        <v>229</v>
      </c>
      <c r="D8" s="3" t="b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DB0E3-8DCC-4FD1-9B72-B835FC52FF04}">
  <dimension ref="A1:D15"/>
  <sheetViews>
    <sheetView workbookViewId="0">
      <selection activeCell="F2" sqref="F2:F15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57.6">
      <c r="A2" s="3" t="s">
        <v>230</v>
      </c>
      <c r="B2" s="3" t="s">
        <v>126</v>
      </c>
      <c r="C2" s="3" t="s">
        <v>231</v>
      </c>
      <c r="D2" s="3">
        <v>1001</v>
      </c>
    </row>
    <row r="3" spans="1:4" ht="43.2">
      <c r="A3" s="3" t="s">
        <v>232</v>
      </c>
      <c r="B3" s="3" t="s">
        <v>129</v>
      </c>
      <c r="C3" s="3" t="s">
        <v>233</v>
      </c>
      <c r="D3" s="3" t="s">
        <v>234</v>
      </c>
    </row>
    <row r="4" spans="1:4" ht="57.6">
      <c r="A4" s="13" t="s">
        <v>487</v>
      </c>
      <c r="B4" s="13" t="s">
        <v>471</v>
      </c>
      <c r="C4" s="13" t="s">
        <v>488</v>
      </c>
      <c r="D4" s="13" t="s">
        <v>489</v>
      </c>
    </row>
    <row r="5" spans="1:4" ht="43.2">
      <c r="A5" s="3" t="s">
        <v>163</v>
      </c>
      <c r="B5" s="3" t="s">
        <v>134</v>
      </c>
      <c r="C5" s="3" t="s">
        <v>235</v>
      </c>
      <c r="D5" s="3" t="s">
        <v>236</v>
      </c>
    </row>
    <row r="6" spans="1:4" ht="57.6">
      <c r="A6" s="3" t="s">
        <v>125</v>
      </c>
      <c r="B6" s="3" t="s">
        <v>147</v>
      </c>
      <c r="C6" s="3" t="s">
        <v>237</v>
      </c>
      <c r="D6" s="3">
        <v>2</v>
      </c>
    </row>
    <row r="7" spans="1:4" ht="43.2">
      <c r="A7" s="3" t="s">
        <v>145</v>
      </c>
      <c r="B7" s="3" t="s">
        <v>147</v>
      </c>
      <c r="C7" s="3" t="s">
        <v>238</v>
      </c>
      <c r="D7" s="3">
        <v>15</v>
      </c>
    </row>
    <row r="8" spans="1:4" ht="28.8">
      <c r="A8" s="3" t="s">
        <v>153</v>
      </c>
      <c r="B8" s="3" t="s">
        <v>138</v>
      </c>
      <c r="C8" s="3" t="s">
        <v>239</v>
      </c>
      <c r="D8" s="3">
        <v>36.511000000000003</v>
      </c>
    </row>
    <row r="9" spans="1:4" ht="28.8">
      <c r="A9" s="3" t="s">
        <v>155</v>
      </c>
      <c r="B9" s="3" t="s">
        <v>138</v>
      </c>
      <c r="C9" s="3" t="s">
        <v>240</v>
      </c>
      <c r="D9" s="3">
        <v>36.841999999999999</v>
      </c>
    </row>
    <row r="10" spans="1:4" ht="43.2">
      <c r="A10" s="3" t="s">
        <v>241</v>
      </c>
      <c r="B10" s="3" t="s">
        <v>126</v>
      </c>
      <c r="C10" s="3" t="s">
        <v>242</v>
      </c>
      <c r="D10" s="6">
        <v>25000</v>
      </c>
    </row>
    <row r="11" spans="1:4" ht="57.6">
      <c r="A11" s="3" t="s">
        <v>243</v>
      </c>
      <c r="B11" s="3" t="s">
        <v>126</v>
      </c>
      <c r="C11" s="3" t="s">
        <v>244</v>
      </c>
      <c r="D11" s="3">
        <v>180</v>
      </c>
    </row>
    <row r="12" spans="1:4" ht="43.2">
      <c r="A12" s="3" t="s">
        <v>245</v>
      </c>
      <c r="B12" s="3" t="s">
        <v>246</v>
      </c>
      <c r="C12" s="3" t="s">
        <v>247</v>
      </c>
      <c r="D12" s="10">
        <v>43570</v>
      </c>
    </row>
    <row r="13" spans="1:4" ht="28.8">
      <c r="A13" s="3" t="s">
        <v>248</v>
      </c>
      <c r="B13" s="3" t="s">
        <v>134</v>
      </c>
      <c r="C13" s="3" t="s">
        <v>249</v>
      </c>
      <c r="D13" s="3" t="s">
        <v>250</v>
      </c>
    </row>
    <row r="14" spans="1:4" ht="43.2">
      <c r="A14" s="3" t="s">
        <v>251</v>
      </c>
      <c r="B14" s="3" t="s">
        <v>134</v>
      </c>
      <c r="C14" s="3" t="s">
        <v>252</v>
      </c>
      <c r="D14" s="3" t="s">
        <v>253</v>
      </c>
    </row>
    <row r="15" spans="1:4" ht="57.6">
      <c r="A15" s="3" t="s">
        <v>142</v>
      </c>
      <c r="B15" s="3" t="s">
        <v>143</v>
      </c>
      <c r="C15" s="3" t="s">
        <v>254</v>
      </c>
      <c r="D15" s="3" t="b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717C7-C63C-4F29-BE42-C9EE738CA955}">
  <dimension ref="A1:D18"/>
  <sheetViews>
    <sheetView workbookViewId="0">
      <selection activeCell="F1" sqref="F1:F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88</v>
      </c>
      <c r="B2" s="3" t="s">
        <v>126</v>
      </c>
      <c r="C2" s="3" t="s">
        <v>255</v>
      </c>
      <c r="D2" s="3">
        <v>500001</v>
      </c>
    </row>
    <row r="3" spans="1:4" ht="57.6">
      <c r="A3" s="3" t="s">
        <v>587</v>
      </c>
      <c r="B3" s="3" t="s">
        <v>129</v>
      </c>
      <c r="C3" s="3" t="s">
        <v>256</v>
      </c>
      <c r="D3" s="3" t="s">
        <v>257</v>
      </c>
    </row>
    <row r="4" spans="1:4" ht="28.8">
      <c r="A4" s="3" t="s">
        <v>588</v>
      </c>
      <c r="B4" s="3" t="s">
        <v>129</v>
      </c>
      <c r="C4" s="3" t="s">
        <v>258</v>
      </c>
      <c r="D4" s="3" t="s">
        <v>259</v>
      </c>
    </row>
    <row r="5" spans="1:4" ht="28.8">
      <c r="A5" s="3" t="s">
        <v>589</v>
      </c>
      <c r="B5" s="3" t="s">
        <v>129</v>
      </c>
      <c r="C5" s="3" t="s">
        <v>260</v>
      </c>
      <c r="D5" s="3" t="s">
        <v>261</v>
      </c>
    </row>
    <row r="6" spans="1:4" ht="28.8">
      <c r="A6" s="3" t="s">
        <v>590</v>
      </c>
      <c r="B6" s="3" t="s">
        <v>134</v>
      </c>
      <c r="C6" s="3" t="s">
        <v>262</v>
      </c>
      <c r="D6" s="3" t="s">
        <v>263</v>
      </c>
    </row>
    <row r="7" spans="1:4" ht="28.8">
      <c r="A7" s="3" t="s">
        <v>591</v>
      </c>
      <c r="B7" s="3" t="s">
        <v>246</v>
      </c>
      <c r="C7" s="3" t="s">
        <v>264</v>
      </c>
      <c r="D7" s="10">
        <v>42228</v>
      </c>
    </row>
    <row r="8" spans="1:4" ht="28.8">
      <c r="A8" s="3" t="s">
        <v>592</v>
      </c>
      <c r="B8" s="3" t="s">
        <v>126</v>
      </c>
      <c r="C8" s="3" t="s">
        <v>265</v>
      </c>
      <c r="D8" s="3">
        <v>11</v>
      </c>
    </row>
    <row r="9" spans="1:4" ht="28.8">
      <c r="A9" s="3" t="s">
        <v>593</v>
      </c>
      <c r="B9" s="3" t="s">
        <v>134</v>
      </c>
      <c r="C9" s="3" t="s">
        <v>266</v>
      </c>
      <c r="D9" s="3" t="s">
        <v>267</v>
      </c>
    </row>
    <row r="10" spans="1:4" ht="28.8">
      <c r="A10" s="3" t="s">
        <v>594</v>
      </c>
      <c r="B10" s="3" t="s">
        <v>134</v>
      </c>
      <c r="C10" s="3" t="s">
        <v>268</v>
      </c>
      <c r="D10" s="3" t="s">
        <v>269</v>
      </c>
    </row>
    <row r="11" spans="1:4" ht="28.8">
      <c r="A11" s="3" t="s">
        <v>595</v>
      </c>
      <c r="B11" s="3" t="s">
        <v>143</v>
      </c>
      <c r="C11" s="3" t="s">
        <v>270</v>
      </c>
      <c r="D11" s="3" t="s">
        <v>271</v>
      </c>
    </row>
    <row r="12" spans="1:4" ht="28.8">
      <c r="A12" s="3" t="s">
        <v>596</v>
      </c>
      <c r="B12" s="3" t="s">
        <v>134</v>
      </c>
      <c r="C12" s="3" t="s">
        <v>272</v>
      </c>
      <c r="D12" s="3" t="s">
        <v>273</v>
      </c>
    </row>
    <row r="13" spans="1:4" ht="28.8">
      <c r="A13" s="3" t="s">
        <v>70</v>
      </c>
      <c r="B13" s="3" t="s">
        <v>147</v>
      </c>
      <c r="C13" s="3" t="s">
        <v>274</v>
      </c>
      <c r="D13" s="3">
        <v>2</v>
      </c>
    </row>
    <row r="14" spans="1:4" ht="28.8">
      <c r="A14" s="3" t="s">
        <v>69</v>
      </c>
      <c r="B14" s="3" t="s">
        <v>147</v>
      </c>
      <c r="C14" s="3" t="s">
        <v>275</v>
      </c>
      <c r="D14" s="3">
        <v>15</v>
      </c>
    </row>
    <row r="15" spans="1:4" ht="43.2">
      <c r="A15" s="3" t="s">
        <v>597</v>
      </c>
      <c r="B15" s="3" t="s">
        <v>129</v>
      </c>
      <c r="C15" s="3" t="s">
        <v>276</v>
      </c>
      <c r="D15" s="3" t="s">
        <v>277</v>
      </c>
    </row>
    <row r="16" spans="1:4" ht="43.2">
      <c r="A16" s="3" t="s">
        <v>598</v>
      </c>
      <c r="B16" s="3" t="s">
        <v>246</v>
      </c>
      <c r="C16" s="3" t="s">
        <v>278</v>
      </c>
      <c r="D16" s="10">
        <v>45698</v>
      </c>
    </row>
    <row r="17" spans="1:4" ht="72">
      <c r="A17" s="3" t="s">
        <v>599</v>
      </c>
      <c r="B17" s="3" t="s">
        <v>147</v>
      </c>
      <c r="C17" s="3" t="s">
        <v>279</v>
      </c>
      <c r="D17" s="3">
        <v>1005</v>
      </c>
    </row>
    <row r="18" spans="1:4" ht="43.2">
      <c r="A18" s="3" t="s">
        <v>542</v>
      </c>
      <c r="B18" s="3" t="s">
        <v>143</v>
      </c>
      <c r="C18" s="3" t="s">
        <v>280</v>
      </c>
      <c r="D18" s="3" t="b">
        <v>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C851B-AA15-472B-BAFE-D0BD01FCEFA1}">
  <dimension ref="A1:F17"/>
  <sheetViews>
    <sheetView workbookViewId="0">
      <selection activeCell="F8" sqref="F8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6">
      <c r="A1" s="2" t="s">
        <v>121</v>
      </c>
      <c r="B1" s="2" t="s">
        <v>122</v>
      </c>
      <c r="C1" s="2" t="s">
        <v>123</v>
      </c>
      <c r="D1" s="2" t="s">
        <v>124</v>
      </c>
    </row>
    <row r="2" spans="1:6" ht="28.8">
      <c r="A2" s="3" t="s">
        <v>83</v>
      </c>
      <c r="B2" s="3" t="s">
        <v>126</v>
      </c>
      <c r="C2" s="3" t="s">
        <v>281</v>
      </c>
      <c r="D2" t="s">
        <v>490</v>
      </c>
      <c r="F2" t="str">
        <f>LOWER(الجدول13[[#This Row],[Column]])</f>
        <v>staff_id</v>
      </c>
    </row>
    <row r="3" spans="1:6" ht="28.8">
      <c r="A3" s="3" t="s">
        <v>588</v>
      </c>
      <c r="B3" s="3" t="s">
        <v>129</v>
      </c>
      <c r="C3" s="3" t="s">
        <v>282</v>
      </c>
      <c r="D3" s="3" t="s">
        <v>283</v>
      </c>
      <c r="F3" t="str">
        <f>LOWER(الجدول13[[#This Row],[Column]])</f>
        <v>first_name</v>
      </c>
    </row>
    <row r="4" spans="1:6">
      <c r="A4" s="3" t="s">
        <v>589</v>
      </c>
      <c r="B4" s="3" t="s">
        <v>129</v>
      </c>
      <c r="C4" s="3" t="s">
        <v>284</v>
      </c>
      <c r="D4" s="3" t="s">
        <v>285</v>
      </c>
      <c r="F4" t="str">
        <f>LOWER(الجدول13[[#This Row],[Column]])</f>
        <v>last_name</v>
      </c>
    </row>
    <row r="5" spans="1:6">
      <c r="A5" s="3" t="s">
        <v>590</v>
      </c>
      <c r="B5" s="3" t="s">
        <v>134</v>
      </c>
      <c r="C5" s="3" t="s">
        <v>286</v>
      </c>
      <c r="D5" s="3" t="s">
        <v>263</v>
      </c>
      <c r="F5" t="str">
        <f>LOWER(الجدول13[[#This Row],[Column]])</f>
        <v>gender</v>
      </c>
    </row>
    <row r="6" spans="1:6" ht="28.8">
      <c r="A6" s="3" t="s">
        <v>591</v>
      </c>
      <c r="B6" s="3" t="s">
        <v>246</v>
      </c>
      <c r="C6" s="3" t="s">
        <v>287</v>
      </c>
      <c r="D6" s="10">
        <v>33011</v>
      </c>
      <c r="F6" t="str">
        <f>LOWER(الجدول13[[#This Row],[Column]])</f>
        <v>date_of_birth</v>
      </c>
    </row>
    <row r="7" spans="1:6">
      <c r="A7" s="3" t="s">
        <v>592</v>
      </c>
      <c r="B7" s="3" t="s">
        <v>126</v>
      </c>
      <c r="C7" s="3" t="s">
        <v>288</v>
      </c>
      <c r="D7" s="3">
        <v>35</v>
      </c>
      <c r="F7" t="str">
        <f>LOWER(الجدول13[[#This Row],[Column]])</f>
        <v>age</v>
      </c>
    </row>
    <row r="8" spans="1:6" ht="28.8">
      <c r="A8" s="3" t="s">
        <v>596</v>
      </c>
      <c r="B8" s="3" t="s">
        <v>134</v>
      </c>
      <c r="C8" s="3" t="s">
        <v>289</v>
      </c>
      <c r="D8" s="3" t="s">
        <v>290</v>
      </c>
      <c r="F8" t="str">
        <f>LOWER(الجدول13[[#This Row],[Column]])</f>
        <v>nationality</v>
      </c>
    </row>
    <row r="9" spans="1:6" ht="28.8">
      <c r="A9" s="13" t="s">
        <v>600</v>
      </c>
      <c r="B9" s="13" t="s">
        <v>471</v>
      </c>
      <c r="C9" s="13" t="s">
        <v>491</v>
      </c>
      <c r="D9" s="13" t="s">
        <v>492</v>
      </c>
      <c r="F9" t="str">
        <f>LOWER(الجدول13[[#This Row],[Column]])</f>
        <v>staff_role_id</v>
      </c>
    </row>
    <row r="10" spans="1:6" ht="57.6">
      <c r="A10" s="3" t="s">
        <v>601</v>
      </c>
      <c r="B10" s="3" t="s">
        <v>134</v>
      </c>
      <c r="C10" s="3" t="s">
        <v>291</v>
      </c>
      <c r="D10" s="3" t="s">
        <v>292</v>
      </c>
      <c r="F10" t="str">
        <f>LOWER(الجدول13[[#This Row],[Column]])</f>
        <v>job_title</v>
      </c>
    </row>
    <row r="11" spans="1:6" ht="28.8">
      <c r="A11" s="3" t="s">
        <v>72</v>
      </c>
      <c r="B11" s="3" t="s">
        <v>147</v>
      </c>
      <c r="C11" s="3" t="s">
        <v>293</v>
      </c>
      <c r="D11" s="3">
        <v>8</v>
      </c>
      <c r="F11" t="str">
        <f>LOWER(الجدول13[[#This Row],[Column]])</f>
        <v>department_id</v>
      </c>
    </row>
    <row r="12" spans="1:6" ht="28.8">
      <c r="A12" s="3" t="s">
        <v>71</v>
      </c>
      <c r="B12" s="3" t="s">
        <v>147</v>
      </c>
      <c r="C12" s="3" t="s">
        <v>294</v>
      </c>
      <c r="D12" s="3">
        <v>1003</v>
      </c>
      <c r="F12" t="str">
        <f>LOWER(الجدول13[[#This Row],[Column]])</f>
        <v>facility_id</v>
      </c>
    </row>
    <row r="13" spans="1:6" ht="28.8">
      <c r="A13" s="3" t="s">
        <v>602</v>
      </c>
      <c r="B13" s="3" t="s">
        <v>134</v>
      </c>
      <c r="C13" s="3" t="s">
        <v>295</v>
      </c>
      <c r="D13" s="3" t="s">
        <v>296</v>
      </c>
      <c r="F13" t="str">
        <f>LOWER(الجدول13[[#This Row],[Column]])</f>
        <v>employment_type</v>
      </c>
    </row>
    <row r="14" spans="1:6" ht="28.8">
      <c r="A14" s="3" t="s">
        <v>603</v>
      </c>
      <c r="B14" s="3" t="s">
        <v>246</v>
      </c>
      <c r="C14" s="3" t="s">
        <v>297</v>
      </c>
      <c r="D14" s="10">
        <v>44936</v>
      </c>
      <c r="F14" t="str">
        <f>LOWER(الجدول13[[#This Row],[Column]])</f>
        <v>hire_date</v>
      </c>
    </row>
    <row r="15" spans="1:6" ht="43.2">
      <c r="A15" s="3" t="s">
        <v>604</v>
      </c>
      <c r="B15" s="3" t="s">
        <v>126</v>
      </c>
      <c r="C15" s="3" t="s">
        <v>298</v>
      </c>
      <c r="D15" s="3">
        <v>8</v>
      </c>
      <c r="F15" t="str">
        <f>LOWER(الجدول13[[#This Row],[Column]])</f>
        <v>years_of_experience</v>
      </c>
    </row>
    <row r="16" spans="1:6" ht="43.2">
      <c r="A16" s="3" t="s">
        <v>605</v>
      </c>
      <c r="B16" s="3" t="s">
        <v>134</v>
      </c>
      <c r="C16" s="3" t="s">
        <v>299</v>
      </c>
      <c r="D16" s="3" t="s">
        <v>300</v>
      </c>
      <c r="F16" t="str">
        <f>LOWER(الجدول13[[#This Row],[Column]])</f>
        <v>employment_status</v>
      </c>
    </row>
    <row r="17" spans="1:6" ht="43.2">
      <c r="A17" s="3" t="s">
        <v>542</v>
      </c>
      <c r="B17" s="3" t="s">
        <v>143</v>
      </c>
      <c r="C17" s="3" t="s">
        <v>301</v>
      </c>
      <c r="D17" s="3" t="b">
        <v>1</v>
      </c>
      <c r="F17" t="str">
        <f>LOWER(الجدول13[[#This Row],[Column]])</f>
        <v>is_active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A0018-B5B3-4BCB-A444-F6D127EF83D8}">
  <dimension ref="A1:D19"/>
  <sheetViews>
    <sheetView workbookViewId="0">
      <selection activeCell="A3" sqref="A3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28.8">
      <c r="A2" s="3" t="s">
        <v>73</v>
      </c>
      <c r="B2" s="3" t="s">
        <v>126</v>
      </c>
      <c r="C2" s="3" t="s">
        <v>302</v>
      </c>
      <c r="D2" s="3">
        <v>1000001</v>
      </c>
    </row>
    <row r="3" spans="1:4" ht="43.2">
      <c r="A3" s="3" t="s">
        <v>88</v>
      </c>
      <c r="B3" s="3" t="s">
        <v>147</v>
      </c>
      <c r="C3" s="3" t="s">
        <v>303</v>
      </c>
      <c r="D3" s="3">
        <v>500021</v>
      </c>
    </row>
    <row r="4" spans="1:4" ht="57.6">
      <c r="A4" s="3" t="s">
        <v>71</v>
      </c>
      <c r="B4" s="3" t="s">
        <v>147</v>
      </c>
      <c r="C4" s="3" t="s">
        <v>304</v>
      </c>
      <c r="D4" s="3">
        <v>101</v>
      </c>
    </row>
    <row r="5" spans="1:4" ht="28.8">
      <c r="A5" s="3" t="s">
        <v>72</v>
      </c>
      <c r="B5" s="3" t="s">
        <v>147</v>
      </c>
      <c r="C5" s="3" t="s">
        <v>305</v>
      </c>
      <c r="D5" s="3">
        <v>8</v>
      </c>
    </row>
    <row r="6" spans="1:4" ht="43.2">
      <c r="A6" s="3" t="s">
        <v>83</v>
      </c>
      <c r="B6" s="3" t="s">
        <v>147</v>
      </c>
      <c r="C6" s="3" t="s">
        <v>306</v>
      </c>
      <c r="D6" s="3">
        <v>204</v>
      </c>
    </row>
    <row r="7" spans="1:4" ht="28.8">
      <c r="A7" s="3" t="s">
        <v>606</v>
      </c>
      <c r="B7" s="3" t="s">
        <v>246</v>
      </c>
      <c r="C7" s="3" t="s">
        <v>307</v>
      </c>
      <c r="D7" s="10">
        <v>46096</v>
      </c>
    </row>
    <row r="8" spans="1:4" ht="43.2">
      <c r="A8" s="3" t="s">
        <v>607</v>
      </c>
      <c r="B8" s="3" t="s">
        <v>308</v>
      </c>
      <c r="C8" s="3" t="s">
        <v>309</v>
      </c>
      <c r="D8" s="11">
        <v>0.39930555555555558</v>
      </c>
    </row>
    <row r="9" spans="1:4" ht="28.8">
      <c r="A9" s="13" t="s">
        <v>501</v>
      </c>
      <c r="B9" s="13" t="s">
        <v>471</v>
      </c>
      <c r="C9" s="13" t="s">
        <v>493</v>
      </c>
      <c r="D9" s="13" t="s">
        <v>494</v>
      </c>
    </row>
    <row r="10" spans="1:4" ht="43.2">
      <c r="A10" s="3" t="s">
        <v>608</v>
      </c>
      <c r="B10" s="3" t="s">
        <v>134</v>
      </c>
      <c r="C10" s="3" t="s">
        <v>310</v>
      </c>
      <c r="D10" s="3" t="s">
        <v>311</v>
      </c>
    </row>
    <row r="11" spans="1:4" ht="57.6">
      <c r="A11" s="3" t="s">
        <v>609</v>
      </c>
      <c r="B11" s="3" t="s">
        <v>129</v>
      </c>
      <c r="C11" s="3" t="s">
        <v>312</v>
      </c>
      <c r="D11" s="3" t="s">
        <v>313</v>
      </c>
    </row>
    <row r="12" spans="1:4" ht="28.8">
      <c r="A12" s="3" t="s">
        <v>610</v>
      </c>
      <c r="B12" s="3" t="s">
        <v>134</v>
      </c>
      <c r="C12" s="3" t="s">
        <v>314</v>
      </c>
      <c r="D12" s="3" t="s">
        <v>315</v>
      </c>
    </row>
    <row r="13" spans="1:4" ht="43.2">
      <c r="A13" s="3" t="s">
        <v>611</v>
      </c>
      <c r="B13" s="3" t="s">
        <v>126</v>
      </c>
      <c r="C13" s="3" t="s">
        <v>316</v>
      </c>
      <c r="D13" s="3">
        <v>28</v>
      </c>
    </row>
    <row r="14" spans="1:4" ht="43.2">
      <c r="A14" s="3" t="s">
        <v>612</v>
      </c>
      <c r="B14" s="3" t="s">
        <v>126</v>
      </c>
      <c r="C14" s="3" t="s">
        <v>317</v>
      </c>
      <c r="D14" s="3">
        <v>18</v>
      </c>
    </row>
    <row r="15" spans="1:4" ht="43.2">
      <c r="A15" s="3" t="s">
        <v>613</v>
      </c>
      <c r="B15" s="3" t="s">
        <v>143</v>
      </c>
      <c r="C15" s="3" t="s">
        <v>318</v>
      </c>
      <c r="D15" s="3" t="b">
        <v>1</v>
      </c>
    </row>
    <row r="16" spans="1:4" ht="28.8">
      <c r="A16" s="3" t="s">
        <v>614</v>
      </c>
      <c r="B16" s="3" t="s">
        <v>143</v>
      </c>
      <c r="C16" s="3" t="s">
        <v>319</v>
      </c>
      <c r="D16" s="3" t="b">
        <v>0</v>
      </c>
    </row>
    <row r="17" spans="1:4" ht="28.8">
      <c r="A17" s="3" t="s">
        <v>615</v>
      </c>
      <c r="B17" s="3" t="s">
        <v>138</v>
      </c>
      <c r="C17" s="3" t="s">
        <v>320</v>
      </c>
      <c r="D17" s="3">
        <v>12.5</v>
      </c>
    </row>
    <row r="18" spans="1:4" ht="43.2">
      <c r="A18" s="3" t="s">
        <v>616</v>
      </c>
      <c r="B18" s="3" t="s">
        <v>134</v>
      </c>
      <c r="C18" s="3" t="s">
        <v>321</v>
      </c>
      <c r="D18" s="3" t="s">
        <v>322</v>
      </c>
    </row>
    <row r="19" spans="1:4" ht="43.2">
      <c r="A19" s="3" t="s">
        <v>617</v>
      </c>
      <c r="B19" s="3" t="s">
        <v>323</v>
      </c>
      <c r="C19" s="3" t="s">
        <v>324</v>
      </c>
      <c r="D19" s="12">
        <v>46096.402777777781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667EC-1040-41AE-BA30-66E680C7A6F5}">
  <dimension ref="A1:D9"/>
  <sheetViews>
    <sheetView workbookViewId="0">
      <selection activeCell="F1" sqref="F1:F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57.6">
      <c r="A2" s="3" t="str">
        <f ca="1">LOWER(الجدول15[[#This Row],[Column]])</f>
        <v>visit_diagnosis_id</v>
      </c>
      <c r="B2" s="3" t="s">
        <v>126</v>
      </c>
      <c r="C2" s="3" t="s">
        <v>325</v>
      </c>
      <c r="D2" s="3">
        <v>900001</v>
      </c>
    </row>
    <row r="3" spans="1:4" ht="28.8">
      <c r="A3" s="3" t="str">
        <f ca="1">LOWER(الجدول15[[#This Row],[Column]])</f>
        <v>visit_id</v>
      </c>
      <c r="B3" s="3" t="s">
        <v>147</v>
      </c>
      <c r="C3" s="3" t="s">
        <v>326</v>
      </c>
      <c r="D3" s="3">
        <v>100023</v>
      </c>
    </row>
    <row r="4" spans="1:4" ht="28.8">
      <c r="A4" s="3" t="str">
        <f ca="1">LOWER(الجدول15[[#This Row],[Column]])</f>
        <v>diagnosis_id</v>
      </c>
      <c r="B4" s="3" t="s">
        <v>147</v>
      </c>
      <c r="C4" s="3" t="s">
        <v>327</v>
      </c>
      <c r="D4" s="3">
        <v>54</v>
      </c>
    </row>
    <row r="5" spans="1:4" ht="28.8">
      <c r="A5" s="3" t="str">
        <f ca="1">LOWER(الجدول15[[#This Row],[Column]])</f>
        <v>diagnosis_type</v>
      </c>
      <c r="B5" s="3" t="s">
        <v>134</v>
      </c>
      <c r="C5" s="3" t="s">
        <v>328</v>
      </c>
      <c r="D5" s="3" t="s">
        <v>329</v>
      </c>
    </row>
    <row r="6" spans="1:4" ht="28.8">
      <c r="A6" s="3" t="str">
        <f ca="1">LOWER(الجدول15[[#This Row],[Column]])</f>
        <v>diagnosis_order</v>
      </c>
      <c r="B6" s="3" t="s">
        <v>126</v>
      </c>
      <c r="C6" s="3" t="s">
        <v>330</v>
      </c>
      <c r="D6" s="3">
        <v>1</v>
      </c>
    </row>
    <row r="7" spans="1:4" ht="28.8">
      <c r="A7" s="3" t="str">
        <f ca="1">LOWER(الجدول15[[#This Row],[Column]])</f>
        <v>severity</v>
      </c>
      <c r="B7" s="3" t="s">
        <v>134</v>
      </c>
      <c r="C7" s="3" t="s">
        <v>172</v>
      </c>
      <c r="D7" s="3" t="s">
        <v>173</v>
      </c>
    </row>
    <row r="8" spans="1:4" ht="43.2">
      <c r="A8" s="3" t="str">
        <f ca="1">LOWER(الجدول15[[#This Row],[Column]])</f>
        <v>confirmed</v>
      </c>
      <c r="B8" s="3" t="s">
        <v>143</v>
      </c>
      <c r="C8" s="3" t="s">
        <v>331</v>
      </c>
      <c r="D8" s="3" t="b">
        <v>1</v>
      </c>
    </row>
    <row r="9" spans="1:4" ht="43.2">
      <c r="A9" s="3" t="str">
        <f ca="1">LOWER(الجدول15[[#This Row],[Column]])</f>
        <v>diagnosis_date</v>
      </c>
      <c r="B9" s="3" t="s">
        <v>246</v>
      </c>
      <c r="C9" s="3" t="s">
        <v>332</v>
      </c>
      <c r="D9" s="10">
        <v>46096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109D4-4160-48C3-86CE-A9DD09391EC6}">
  <dimension ref="A1:D9"/>
  <sheetViews>
    <sheetView workbookViewId="0">
      <selection activeCell="F1" sqref="F1:F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57.6">
      <c r="A2" s="3" t="s">
        <v>82</v>
      </c>
      <c r="B2" s="3" t="s">
        <v>126</v>
      </c>
      <c r="C2" s="3" t="s">
        <v>333</v>
      </c>
      <c r="D2" s="3">
        <v>750001</v>
      </c>
    </row>
    <row r="3" spans="1:4" ht="28.8">
      <c r="A3" s="3" t="s">
        <v>73</v>
      </c>
      <c r="B3" s="3" t="s">
        <v>147</v>
      </c>
      <c r="C3" s="3" t="s">
        <v>326</v>
      </c>
      <c r="D3" s="3">
        <v>100023</v>
      </c>
    </row>
    <row r="4" spans="1:4" ht="43.2">
      <c r="A4" s="3" t="s">
        <v>78</v>
      </c>
      <c r="B4" s="3" t="s">
        <v>147</v>
      </c>
      <c r="C4" s="3" t="s">
        <v>334</v>
      </c>
      <c r="D4" s="3">
        <v>32</v>
      </c>
    </row>
    <row r="5" spans="1:4" ht="72">
      <c r="A5" s="3" t="s">
        <v>83</v>
      </c>
      <c r="B5" s="3" t="s">
        <v>147</v>
      </c>
      <c r="C5" s="3" t="s">
        <v>335</v>
      </c>
      <c r="D5" s="3">
        <v>205</v>
      </c>
    </row>
    <row r="6" spans="1:4" ht="57.6">
      <c r="A6" s="3" t="s">
        <v>618</v>
      </c>
      <c r="B6" s="3" t="s">
        <v>246</v>
      </c>
      <c r="C6" s="3" t="s">
        <v>336</v>
      </c>
      <c r="D6" s="10">
        <v>46096</v>
      </c>
    </row>
    <row r="7" spans="1:4" ht="43.2">
      <c r="A7" s="3" t="s">
        <v>619</v>
      </c>
      <c r="B7" s="3" t="s">
        <v>134</v>
      </c>
      <c r="C7" s="3" t="s">
        <v>337</v>
      </c>
      <c r="D7" s="3" t="s">
        <v>338</v>
      </c>
    </row>
    <row r="8" spans="1:4" ht="28.8">
      <c r="A8" s="3" t="s">
        <v>620</v>
      </c>
      <c r="B8" s="3" t="s">
        <v>126</v>
      </c>
      <c r="C8" s="3" t="s">
        <v>339</v>
      </c>
      <c r="D8" s="3">
        <v>25</v>
      </c>
    </row>
    <row r="9" spans="1:4" ht="28.8">
      <c r="A9" s="3" t="s">
        <v>621</v>
      </c>
      <c r="B9" s="3" t="s">
        <v>134</v>
      </c>
      <c r="C9" s="3" t="s">
        <v>340</v>
      </c>
      <c r="D9" s="3" t="s">
        <v>341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5B5EB-7842-4F2A-B929-D087DDB96B10}">
  <dimension ref="A1:D13"/>
  <sheetViews>
    <sheetView workbookViewId="0">
      <selection activeCell="F1" sqref="F1:F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57.6">
      <c r="A2" s="3" t="s">
        <v>622</v>
      </c>
      <c r="B2" s="3" t="s">
        <v>126</v>
      </c>
      <c r="C2" s="3" t="s">
        <v>342</v>
      </c>
      <c r="D2" s="3">
        <v>300001</v>
      </c>
    </row>
    <row r="3" spans="1:4" ht="28.8">
      <c r="A3" s="3" t="s">
        <v>73</v>
      </c>
      <c r="B3" s="3" t="s">
        <v>147</v>
      </c>
      <c r="C3" s="3" t="s">
        <v>326</v>
      </c>
      <c r="D3" s="3">
        <v>100021</v>
      </c>
    </row>
    <row r="4" spans="1:4" ht="43.2">
      <c r="A4" s="3" t="s">
        <v>88</v>
      </c>
      <c r="B4" s="3" t="s">
        <v>147</v>
      </c>
      <c r="C4" s="3" t="s">
        <v>343</v>
      </c>
      <c r="D4" s="3">
        <v>500021</v>
      </c>
    </row>
    <row r="5" spans="1:4" ht="43.2">
      <c r="A5" s="3" t="s">
        <v>563</v>
      </c>
      <c r="B5" s="3" t="s">
        <v>147</v>
      </c>
      <c r="C5" s="3" t="s">
        <v>344</v>
      </c>
      <c r="D5" s="3">
        <v>15</v>
      </c>
    </row>
    <row r="6" spans="1:4" ht="43.2">
      <c r="A6" s="3" t="s">
        <v>71</v>
      </c>
      <c r="B6" s="3" t="s">
        <v>147</v>
      </c>
      <c r="C6" s="3" t="s">
        <v>345</v>
      </c>
      <c r="D6" s="3">
        <v>101</v>
      </c>
    </row>
    <row r="7" spans="1:4" ht="43.2">
      <c r="A7" s="3" t="s">
        <v>83</v>
      </c>
      <c r="B7" s="3" t="s">
        <v>147</v>
      </c>
      <c r="C7" s="3" t="s">
        <v>346</v>
      </c>
      <c r="D7" s="3">
        <v>205</v>
      </c>
    </row>
    <row r="8" spans="1:4" ht="43.2">
      <c r="A8" s="3" t="s">
        <v>623</v>
      </c>
      <c r="B8" s="3" t="s">
        <v>246</v>
      </c>
      <c r="C8" s="3" t="s">
        <v>347</v>
      </c>
      <c r="D8" s="10">
        <v>46096</v>
      </c>
    </row>
    <row r="9" spans="1:4" ht="43.2">
      <c r="A9" s="3" t="s">
        <v>624</v>
      </c>
      <c r="B9" s="3" t="s">
        <v>134</v>
      </c>
      <c r="C9" s="3" t="s">
        <v>348</v>
      </c>
      <c r="D9" s="3" t="s">
        <v>349</v>
      </c>
    </row>
    <row r="10" spans="1:4" ht="28.8">
      <c r="A10" s="3" t="s">
        <v>625</v>
      </c>
      <c r="B10" s="3" t="s">
        <v>134</v>
      </c>
      <c r="C10" s="3" t="s">
        <v>350</v>
      </c>
      <c r="D10" s="3" t="s">
        <v>351</v>
      </c>
    </row>
    <row r="11" spans="1:4" ht="28.8">
      <c r="A11" s="3" t="s">
        <v>626</v>
      </c>
      <c r="B11" s="3" t="s">
        <v>134</v>
      </c>
      <c r="C11" s="3" t="s">
        <v>352</v>
      </c>
      <c r="D11" s="3" t="s">
        <v>353</v>
      </c>
    </row>
    <row r="12" spans="1:4" ht="43.2">
      <c r="A12" s="3" t="s">
        <v>627</v>
      </c>
      <c r="B12" s="3" t="s">
        <v>246</v>
      </c>
      <c r="C12" s="3" t="s">
        <v>354</v>
      </c>
      <c r="D12" s="10">
        <v>46097</v>
      </c>
    </row>
    <row r="13" spans="1:4" ht="57.6">
      <c r="A13" s="3" t="s">
        <v>628</v>
      </c>
      <c r="B13" s="3" t="s">
        <v>138</v>
      </c>
      <c r="C13" s="3" t="s">
        <v>355</v>
      </c>
      <c r="D13" s="3">
        <v>18.5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EDA3-78A8-4D5E-93AE-89052AFE7CBC}">
  <dimension ref="A1:D12"/>
  <sheetViews>
    <sheetView workbookViewId="0">
      <selection activeCell="F1" sqref="F1:F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629</v>
      </c>
      <c r="B2" s="3" t="s">
        <v>126</v>
      </c>
      <c r="C2" s="3" t="s">
        <v>356</v>
      </c>
      <c r="D2" s="3">
        <v>700001</v>
      </c>
    </row>
    <row r="3" spans="1:4" ht="28.8">
      <c r="A3" s="3" t="s">
        <v>73</v>
      </c>
      <c r="B3" s="3" t="s">
        <v>147</v>
      </c>
      <c r="C3" s="3" t="s">
        <v>326</v>
      </c>
      <c r="D3" s="3">
        <v>100021</v>
      </c>
    </row>
    <row r="4" spans="1:4" ht="43.2">
      <c r="A4" s="3" t="s">
        <v>88</v>
      </c>
      <c r="B4" s="3" t="s">
        <v>147</v>
      </c>
      <c r="C4" s="3" t="s">
        <v>357</v>
      </c>
      <c r="D4" s="3">
        <v>500021</v>
      </c>
    </row>
    <row r="5" spans="1:4" ht="28.8">
      <c r="A5" s="3" t="s">
        <v>85</v>
      </c>
      <c r="B5" s="3" t="s">
        <v>147</v>
      </c>
      <c r="C5" s="3" t="s">
        <v>358</v>
      </c>
      <c r="D5" s="3">
        <v>245</v>
      </c>
    </row>
    <row r="6" spans="1:4" ht="28.8">
      <c r="A6" s="3" t="s">
        <v>71</v>
      </c>
      <c r="B6" s="3" t="s">
        <v>147</v>
      </c>
      <c r="C6" s="3" t="s">
        <v>359</v>
      </c>
      <c r="D6" s="3">
        <v>101</v>
      </c>
    </row>
    <row r="7" spans="1:4" ht="43.2">
      <c r="A7" s="3" t="s">
        <v>83</v>
      </c>
      <c r="B7" s="3" t="s">
        <v>147</v>
      </c>
      <c r="C7" s="3" t="s">
        <v>360</v>
      </c>
      <c r="D7" s="3">
        <v>403</v>
      </c>
    </row>
    <row r="8" spans="1:4" ht="28.8">
      <c r="A8" s="3" t="s">
        <v>630</v>
      </c>
      <c r="B8" s="3" t="s">
        <v>246</v>
      </c>
      <c r="C8" s="3" t="s">
        <v>361</v>
      </c>
      <c r="D8" s="10">
        <v>46096</v>
      </c>
    </row>
    <row r="9" spans="1:4" ht="28.8">
      <c r="A9" s="3" t="s">
        <v>631</v>
      </c>
      <c r="B9" s="3" t="s">
        <v>126</v>
      </c>
      <c r="C9" s="3" t="s">
        <v>362</v>
      </c>
      <c r="D9" s="3">
        <v>20</v>
      </c>
    </row>
    <row r="10" spans="1:4" ht="28.8">
      <c r="A10" s="3" t="s">
        <v>566</v>
      </c>
      <c r="B10" s="3" t="s">
        <v>129</v>
      </c>
      <c r="C10" s="3" t="s">
        <v>205</v>
      </c>
      <c r="D10" s="3" t="s">
        <v>363</v>
      </c>
    </row>
    <row r="11" spans="1:4" ht="28.8">
      <c r="A11" s="3" t="s">
        <v>632</v>
      </c>
      <c r="B11" s="3" t="s">
        <v>129</v>
      </c>
      <c r="C11" s="3" t="s">
        <v>364</v>
      </c>
      <c r="D11" s="3" t="s">
        <v>365</v>
      </c>
    </row>
    <row r="12" spans="1:4" ht="28.8">
      <c r="A12" s="3" t="s">
        <v>633</v>
      </c>
      <c r="B12" s="3" t="s">
        <v>134</v>
      </c>
      <c r="C12" s="3" t="s">
        <v>366</v>
      </c>
      <c r="D12" s="3" t="s">
        <v>367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7D09-AF30-4EAE-B3AB-BAA120054055}">
  <dimension ref="A1:D12"/>
  <sheetViews>
    <sheetView workbookViewId="0">
      <selection activeCell="F1" sqref="F1:F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634</v>
      </c>
      <c r="B2" s="3" t="s">
        <v>126</v>
      </c>
      <c r="C2" s="3" t="s">
        <v>368</v>
      </c>
      <c r="D2" s="3">
        <v>900001</v>
      </c>
    </row>
    <row r="3" spans="1:4" ht="28.8">
      <c r="A3" s="3" t="s">
        <v>88</v>
      </c>
      <c r="B3" s="3" t="s">
        <v>147</v>
      </c>
      <c r="C3" s="3" t="s">
        <v>369</v>
      </c>
      <c r="D3" s="3">
        <v>500021</v>
      </c>
    </row>
    <row r="4" spans="1:4" ht="28.8">
      <c r="A4" s="3" t="s">
        <v>73</v>
      </c>
      <c r="B4" s="3" t="s">
        <v>147</v>
      </c>
      <c r="C4" s="3" t="s">
        <v>326</v>
      </c>
      <c r="D4" s="3">
        <v>100021</v>
      </c>
    </row>
    <row r="5" spans="1:4" ht="28.8">
      <c r="A5" s="3" t="s">
        <v>575</v>
      </c>
      <c r="B5" s="3" t="s">
        <v>147</v>
      </c>
      <c r="C5" s="3" t="s">
        <v>370</v>
      </c>
      <c r="D5" s="3">
        <v>4</v>
      </c>
    </row>
    <row r="6" spans="1:4" ht="28.8">
      <c r="A6" s="3" t="s">
        <v>71</v>
      </c>
      <c r="B6" s="3" t="s">
        <v>147</v>
      </c>
      <c r="C6" s="3" t="s">
        <v>371</v>
      </c>
      <c r="D6" s="3">
        <v>102</v>
      </c>
    </row>
    <row r="7" spans="1:4">
      <c r="A7" s="3" t="s">
        <v>83</v>
      </c>
      <c r="B7" s="3" t="s">
        <v>147</v>
      </c>
      <c r="C7" s="3" t="s">
        <v>372</v>
      </c>
      <c r="D7" s="3">
        <v>215</v>
      </c>
    </row>
    <row r="8" spans="1:4" ht="28.8">
      <c r="A8" s="3" t="s">
        <v>635</v>
      </c>
      <c r="B8" s="3" t="s">
        <v>246</v>
      </c>
      <c r="C8" s="3" t="s">
        <v>373</v>
      </c>
      <c r="D8" s="10">
        <v>46096</v>
      </c>
    </row>
    <row r="9" spans="1:4" ht="28.8">
      <c r="A9" s="3" t="s">
        <v>636</v>
      </c>
      <c r="B9" s="3" t="s">
        <v>126</v>
      </c>
      <c r="C9" s="3" t="s">
        <v>374</v>
      </c>
      <c r="D9" s="3">
        <v>1</v>
      </c>
    </row>
    <row r="10" spans="1:4" ht="28.8">
      <c r="A10" s="3" t="s">
        <v>637</v>
      </c>
      <c r="B10" s="3" t="s">
        <v>129</v>
      </c>
      <c r="C10" s="3" t="s">
        <v>375</v>
      </c>
      <c r="D10" s="3" t="s">
        <v>376</v>
      </c>
    </row>
    <row r="11" spans="1:4" ht="28.8">
      <c r="A11" s="3" t="s">
        <v>638</v>
      </c>
      <c r="B11" s="3" t="s">
        <v>134</v>
      </c>
      <c r="C11" s="3" t="s">
        <v>377</v>
      </c>
      <c r="D11" s="3" t="s">
        <v>378</v>
      </c>
    </row>
    <row r="12" spans="1:4" ht="43.2">
      <c r="A12" s="3" t="s">
        <v>639</v>
      </c>
      <c r="B12" s="3" t="s">
        <v>143</v>
      </c>
      <c r="C12" s="3" t="s">
        <v>379</v>
      </c>
      <c r="D12" s="3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AE5ED-AF10-4395-9F67-CA5CD058DEC2}">
  <dimension ref="A1:D13"/>
  <sheetViews>
    <sheetView workbookViewId="0">
      <selection activeCell="F1" sqref="F1:F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87</v>
      </c>
      <c r="B2" s="3" t="s">
        <v>126</v>
      </c>
      <c r="C2" s="3" t="s">
        <v>380</v>
      </c>
      <c r="D2" s="3">
        <v>120001</v>
      </c>
    </row>
    <row r="3" spans="1:4" ht="28.8">
      <c r="A3" s="3" t="s">
        <v>88</v>
      </c>
      <c r="B3" s="3" t="s">
        <v>147</v>
      </c>
      <c r="C3" s="3" t="s">
        <v>381</v>
      </c>
      <c r="D3" s="3">
        <v>500021</v>
      </c>
    </row>
    <row r="4" spans="1:4" ht="28.8">
      <c r="A4" s="3" t="s">
        <v>73</v>
      </c>
      <c r="B4" s="3" t="s">
        <v>147</v>
      </c>
      <c r="C4" s="3" t="s">
        <v>326</v>
      </c>
      <c r="D4" s="3">
        <v>100021</v>
      </c>
    </row>
    <row r="5" spans="1:4" ht="28.8">
      <c r="A5" s="3" t="s">
        <v>71</v>
      </c>
      <c r="B5" s="3" t="s">
        <v>147</v>
      </c>
      <c r="C5" s="3" t="s">
        <v>382</v>
      </c>
      <c r="D5" s="3">
        <v>103</v>
      </c>
    </row>
    <row r="6" spans="1:4" ht="28.8">
      <c r="A6" s="3" t="s">
        <v>83</v>
      </c>
      <c r="B6" s="3" t="s">
        <v>147</v>
      </c>
      <c r="C6" s="3" t="s">
        <v>383</v>
      </c>
      <c r="D6" s="3">
        <v>305</v>
      </c>
    </row>
    <row r="7" spans="1:4" ht="28.8">
      <c r="A7" s="3" t="s">
        <v>640</v>
      </c>
      <c r="B7" s="3" t="s">
        <v>246</v>
      </c>
      <c r="C7" s="3" t="s">
        <v>384</v>
      </c>
      <c r="D7" s="10">
        <v>46096</v>
      </c>
    </row>
    <row r="8" spans="1:4" ht="57.6">
      <c r="A8" s="3" t="s">
        <v>641</v>
      </c>
      <c r="B8" s="3" t="s">
        <v>138</v>
      </c>
      <c r="C8" s="3" t="s">
        <v>385</v>
      </c>
      <c r="D8" s="3">
        <v>11.2</v>
      </c>
    </row>
    <row r="9" spans="1:4" ht="28.8">
      <c r="A9" s="3" t="s">
        <v>642</v>
      </c>
      <c r="B9" s="3" t="s">
        <v>138</v>
      </c>
      <c r="C9" s="3" t="s">
        <v>386</v>
      </c>
      <c r="D9" s="3">
        <v>17.399999999999999</v>
      </c>
    </row>
    <row r="10" spans="1:4">
      <c r="A10" s="3" t="s">
        <v>643</v>
      </c>
      <c r="B10" s="3" t="s">
        <v>138</v>
      </c>
      <c r="C10" s="3" t="s">
        <v>387</v>
      </c>
      <c r="D10" s="3">
        <v>105.3</v>
      </c>
    </row>
    <row r="11" spans="1:4" ht="28.8">
      <c r="A11" s="3" t="s">
        <v>644</v>
      </c>
      <c r="B11" s="3" t="s">
        <v>138</v>
      </c>
      <c r="C11" s="3" t="s">
        <v>388</v>
      </c>
      <c r="D11" s="3">
        <v>15.7</v>
      </c>
    </row>
    <row r="12" spans="1:4" ht="28.8">
      <c r="A12" s="3" t="s">
        <v>645</v>
      </c>
      <c r="B12" s="3" t="s">
        <v>134</v>
      </c>
      <c r="C12" s="3" t="s">
        <v>389</v>
      </c>
      <c r="D12" s="3" t="s">
        <v>390</v>
      </c>
    </row>
    <row r="13" spans="1:4" ht="43.2">
      <c r="A13" s="3" t="s">
        <v>646</v>
      </c>
      <c r="B13" s="3" t="s">
        <v>143</v>
      </c>
      <c r="C13" s="3" t="s">
        <v>391</v>
      </c>
      <c r="D13" s="3" t="b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63363-7FF4-4B13-800A-6E24BC5FC700}">
  <dimension ref="A1:D11"/>
  <sheetViews>
    <sheetView workbookViewId="0">
      <selection activeCell="F1" sqref="F1:F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86</v>
      </c>
      <c r="B2" s="3" t="s">
        <v>126</v>
      </c>
      <c r="C2" s="3" t="s">
        <v>392</v>
      </c>
      <c r="D2" s="3">
        <v>150001</v>
      </c>
    </row>
    <row r="3" spans="1:4" ht="43.2">
      <c r="A3" s="3" t="s">
        <v>87</v>
      </c>
      <c r="B3" s="3" t="s">
        <v>147</v>
      </c>
      <c r="C3" s="3" t="s">
        <v>393</v>
      </c>
      <c r="D3" s="3">
        <v>120001</v>
      </c>
    </row>
    <row r="4" spans="1:4" ht="28.8">
      <c r="A4" s="3" t="s">
        <v>88</v>
      </c>
      <c r="B4" s="3" t="s">
        <v>147</v>
      </c>
      <c r="C4" s="3" t="s">
        <v>394</v>
      </c>
      <c r="D4" s="3">
        <v>500021</v>
      </c>
    </row>
    <row r="5" spans="1:4" ht="28.8">
      <c r="A5" s="3" t="s">
        <v>647</v>
      </c>
      <c r="B5" s="3" t="s">
        <v>246</v>
      </c>
      <c r="C5" s="3" t="s">
        <v>395</v>
      </c>
      <c r="D5" s="10">
        <v>46110</v>
      </c>
    </row>
    <row r="6" spans="1:4" ht="43.2">
      <c r="A6" s="3" t="s">
        <v>648</v>
      </c>
      <c r="B6" s="3" t="s">
        <v>126</v>
      </c>
      <c r="C6" s="3" t="s">
        <v>396</v>
      </c>
      <c r="D6" s="3">
        <v>2</v>
      </c>
    </row>
    <row r="7" spans="1:4" ht="28.8">
      <c r="A7" s="3" t="s">
        <v>642</v>
      </c>
      <c r="B7" s="3" t="s">
        <v>138</v>
      </c>
      <c r="C7" s="3" t="s">
        <v>397</v>
      </c>
      <c r="D7" s="3">
        <v>18</v>
      </c>
    </row>
    <row r="8" spans="1:4" ht="28.8">
      <c r="A8" s="3" t="s">
        <v>641</v>
      </c>
      <c r="B8" s="3" t="s">
        <v>138</v>
      </c>
      <c r="C8" s="3" t="s">
        <v>398</v>
      </c>
      <c r="D8" s="3">
        <v>11.8</v>
      </c>
    </row>
    <row r="9" spans="1:4" ht="43.2">
      <c r="A9" s="3" t="s">
        <v>645</v>
      </c>
      <c r="B9" s="3" t="s">
        <v>134</v>
      </c>
      <c r="C9" s="3" t="s">
        <v>399</v>
      </c>
      <c r="D9" s="3" t="s">
        <v>400</v>
      </c>
    </row>
    <row r="10" spans="1:4" ht="28.8">
      <c r="A10" s="3" t="s">
        <v>616</v>
      </c>
      <c r="B10" s="3" t="s">
        <v>134</v>
      </c>
      <c r="C10" s="3" t="s">
        <v>401</v>
      </c>
      <c r="D10" s="3" t="s">
        <v>402</v>
      </c>
    </row>
    <row r="11" spans="1:4" ht="43.2">
      <c r="A11" s="3" t="s">
        <v>649</v>
      </c>
      <c r="B11" s="3" t="s">
        <v>246</v>
      </c>
      <c r="C11" s="3" t="s">
        <v>403</v>
      </c>
      <c r="D11" s="10">
        <v>46124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13E14-EF28-42D3-A177-9AC7EA83AC68}">
  <dimension ref="A1:D10"/>
  <sheetViews>
    <sheetView workbookViewId="0">
      <selection activeCell="F1" sqref="F1:F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79</v>
      </c>
      <c r="B2" s="3" t="s">
        <v>126</v>
      </c>
      <c r="C2" s="3" t="s">
        <v>404</v>
      </c>
      <c r="D2" s="3">
        <v>180001</v>
      </c>
    </row>
    <row r="3" spans="1:4" ht="28.8">
      <c r="A3" s="3" t="s">
        <v>73</v>
      </c>
      <c r="B3" s="3" t="s">
        <v>147</v>
      </c>
      <c r="C3" s="3" t="s">
        <v>326</v>
      </c>
      <c r="D3" s="3">
        <v>100021</v>
      </c>
    </row>
    <row r="4" spans="1:4" ht="28.8">
      <c r="A4" s="3" t="s">
        <v>88</v>
      </c>
      <c r="B4" s="3" t="s">
        <v>147</v>
      </c>
      <c r="C4" s="3" t="s">
        <v>405</v>
      </c>
      <c r="D4" s="3">
        <v>500021</v>
      </c>
    </row>
    <row r="5" spans="1:4" ht="28.8">
      <c r="A5" s="3" t="s">
        <v>650</v>
      </c>
      <c r="B5" s="3" t="s">
        <v>147</v>
      </c>
      <c r="C5" s="3" t="s">
        <v>406</v>
      </c>
      <c r="D5" s="3">
        <v>101</v>
      </c>
    </row>
    <row r="6" spans="1:4" ht="28.8">
      <c r="A6" s="3" t="s">
        <v>651</v>
      </c>
      <c r="B6" s="3" t="s">
        <v>147</v>
      </c>
      <c r="C6" s="3" t="s">
        <v>407</v>
      </c>
      <c r="D6" s="3">
        <v>120</v>
      </c>
    </row>
    <row r="7" spans="1:4" ht="28.8">
      <c r="A7" s="3" t="s">
        <v>652</v>
      </c>
      <c r="B7" s="3" t="s">
        <v>246</v>
      </c>
      <c r="C7" s="3" t="s">
        <v>408</v>
      </c>
      <c r="D7" s="10">
        <v>46096</v>
      </c>
    </row>
    <row r="8" spans="1:4" ht="28.8">
      <c r="A8" s="3" t="s">
        <v>653</v>
      </c>
      <c r="B8" s="3" t="s">
        <v>134</v>
      </c>
      <c r="C8" s="3" t="s">
        <v>409</v>
      </c>
      <c r="D8" s="3" t="s">
        <v>410</v>
      </c>
    </row>
    <row r="9" spans="1:4" ht="28.8">
      <c r="A9" s="3" t="s">
        <v>654</v>
      </c>
      <c r="B9" s="3" t="s">
        <v>134</v>
      </c>
      <c r="C9" s="3" t="s">
        <v>411</v>
      </c>
      <c r="D9" s="3" t="s">
        <v>353</v>
      </c>
    </row>
    <row r="10" spans="1:4" ht="28.8">
      <c r="A10" s="3" t="s">
        <v>655</v>
      </c>
      <c r="B10" s="3" t="s">
        <v>134</v>
      </c>
      <c r="C10" s="3" t="s">
        <v>412</v>
      </c>
      <c r="D10" s="3" t="s">
        <v>413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23D88-AB0E-419F-A2AB-6C1743E7F528}">
  <dimension ref="A1:D18"/>
  <sheetViews>
    <sheetView workbookViewId="0">
      <selection activeCell="G1" sqref="G1:G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67</v>
      </c>
      <c r="B2" s="3" t="s">
        <v>126</v>
      </c>
      <c r="C2" s="3" t="s">
        <v>414</v>
      </c>
      <c r="D2" s="3">
        <v>210001</v>
      </c>
    </row>
    <row r="3" spans="1:4" ht="28.8">
      <c r="A3" s="3" t="s">
        <v>88</v>
      </c>
      <c r="B3" s="3" t="s">
        <v>147</v>
      </c>
      <c r="C3" s="3" t="s">
        <v>415</v>
      </c>
      <c r="D3" s="3">
        <v>500021</v>
      </c>
    </row>
    <row r="4" spans="1:4" ht="28.8">
      <c r="A4" s="3" t="s">
        <v>581</v>
      </c>
      <c r="B4" s="3" t="s">
        <v>147</v>
      </c>
      <c r="C4" s="3" t="s">
        <v>221</v>
      </c>
      <c r="D4" s="3">
        <v>4</v>
      </c>
    </row>
    <row r="5" spans="1:4" ht="28.8">
      <c r="A5" s="3" t="s">
        <v>71</v>
      </c>
      <c r="B5" s="3" t="s">
        <v>147</v>
      </c>
      <c r="C5" s="3" t="s">
        <v>416</v>
      </c>
      <c r="D5" s="3">
        <v>101</v>
      </c>
    </row>
    <row r="6" spans="1:4" ht="43.2">
      <c r="A6" s="3" t="s">
        <v>656</v>
      </c>
      <c r="B6" s="3" t="s">
        <v>246</v>
      </c>
      <c r="C6" s="3" t="s">
        <v>445</v>
      </c>
      <c r="D6" s="10">
        <v>46097</v>
      </c>
    </row>
    <row r="7" spans="1:4" ht="57.6">
      <c r="A7" s="3" t="s">
        <v>657</v>
      </c>
      <c r="B7" s="3" t="s">
        <v>134</v>
      </c>
      <c r="C7" s="3" t="s">
        <v>446</v>
      </c>
      <c r="D7" s="3" t="s">
        <v>447</v>
      </c>
    </row>
    <row r="8" spans="1:4" ht="43.2">
      <c r="A8" s="13" t="s">
        <v>658</v>
      </c>
      <c r="B8" s="3" t="s">
        <v>129</v>
      </c>
      <c r="C8" s="3" t="s">
        <v>448</v>
      </c>
      <c r="D8" s="3" t="s">
        <v>449</v>
      </c>
    </row>
    <row r="9" spans="1:4" ht="72">
      <c r="A9" s="13" t="s">
        <v>659</v>
      </c>
      <c r="B9" s="3" t="s">
        <v>450</v>
      </c>
      <c r="C9" s="3" t="s">
        <v>451</v>
      </c>
      <c r="D9" s="3" t="s">
        <v>452</v>
      </c>
    </row>
    <row r="10" spans="1:4" ht="43.2">
      <c r="A10" s="3" t="s">
        <v>660</v>
      </c>
      <c r="B10" s="3" t="s">
        <v>134</v>
      </c>
      <c r="C10" s="3" t="s">
        <v>453</v>
      </c>
      <c r="D10" s="3" t="s">
        <v>226</v>
      </c>
    </row>
    <row r="11" spans="1:4" ht="72">
      <c r="A11" s="3" t="s">
        <v>661</v>
      </c>
      <c r="B11" s="3" t="s">
        <v>147</v>
      </c>
      <c r="C11" s="3" t="s">
        <v>454</v>
      </c>
      <c r="D11" s="3">
        <v>302</v>
      </c>
    </row>
    <row r="12" spans="1:4" ht="43.2">
      <c r="A12" s="3" t="s">
        <v>662</v>
      </c>
      <c r="B12" s="3" t="s">
        <v>134</v>
      </c>
      <c r="C12" s="3" t="s">
        <v>455</v>
      </c>
      <c r="D12" s="3" t="s">
        <v>417</v>
      </c>
    </row>
    <row r="13" spans="1:4" ht="57.6">
      <c r="A13" s="3" t="s">
        <v>663</v>
      </c>
      <c r="B13" s="3" t="s">
        <v>450</v>
      </c>
      <c r="C13" s="3" t="s">
        <v>456</v>
      </c>
      <c r="D13" s="3" t="s">
        <v>457</v>
      </c>
    </row>
    <row r="14" spans="1:4" ht="43.2">
      <c r="A14" s="3" t="s">
        <v>664</v>
      </c>
      <c r="B14" s="3" t="s">
        <v>246</v>
      </c>
      <c r="C14" s="3" t="s">
        <v>458</v>
      </c>
      <c r="D14" s="10">
        <v>46101</v>
      </c>
    </row>
    <row r="15" spans="1:4" ht="57.6">
      <c r="A15" s="3" t="s">
        <v>665</v>
      </c>
      <c r="B15" s="3" t="s">
        <v>126</v>
      </c>
      <c r="C15" s="3" t="s">
        <v>459</v>
      </c>
      <c r="D15" s="3">
        <v>4</v>
      </c>
    </row>
    <row r="16" spans="1:4" ht="57.6">
      <c r="A16" s="3" t="s">
        <v>666</v>
      </c>
      <c r="B16" s="3" t="s">
        <v>126</v>
      </c>
      <c r="C16" s="3" t="s">
        <v>460</v>
      </c>
      <c r="D16" s="3" t="s">
        <v>418</v>
      </c>
    </row>
    <row r="17" spans="1:4" ht="57.6">
      <c r="A17" s="3" t="s">
        <v>614</v>
      </c>
      <c r="B17" s="3" t="s">
        <v>143</v>
      </c>
      <c r="C17" s="3" t="s">
        <v>461</v>
      </c>
      <c r="D17" s="3" t="b">
        <v>1</v>
      </c>
    </row>
    <row r="18" spans="1:4" ht="72">
      <c r="A18" s="3" t="s">
        <v>667</v>
      </c>
      <c r="B18" s="3" t="s">
        <v>143</v>
      </c>
      <c r="C18" s="3" t="s">
        <v>462</v>
      </c>
      <c r="D18" s="3" t="b">
        <v>1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48D6-321F-48AC-A6C0-57260B90847A}">
  <dimension ref="A1:D11"/>
  <sheetViews>
    <sheetView workbookViewId="0">
      <selection activeCell="G1" sqref="G1:G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668</v>
      </c>
      <c r="B2" s="3" t="s">
        <v>126</v>
      </c>
      <c r="C2" s="3" t="s">
        <v>419</v>
      </c>
      <c r="D2" s="3">
        <v>50001</v>
      </c>
    </row>
    <row r="3" spans="1:4" ht="43.2">
      <c r="A3" s="3" t="s">
        <v>83</v>
      </c>
      <c r="B3" s="3" t="s">
        <v>147</v>
      </c>
      <c r="C3" s="3" t="s">
        <v>420</v>
      </c>
      <c r="D3" s="3">
        <v>205</v>
      </c>
    </row>
    <row r="4" spans="1:4">
      <c r="A4" s="3" t="s">
        <v>71</v>
      </c>
      <c r="B4" s="3" t="s">
        <v>147</v>
      </c>
      <c r="C4" s="3" t="s">
        <v>421</v>
      </c>
      <c r="D4" s="3">
        <v>101</v>
      </c>
    </row>
    <row r="5" spans="1:4" ht="28.8">
      <c r="A5" s="3" t="s">
        <v>669</v>
      </c>
      <c r="B5" s="3" t="s">
        <v>129</v>
      </c>
      <c r="C5" s="3" t="s">
        <v>422</v>
      </c>
      <c r="D5" s="3" t="s">
        <v>423</v>
      </c>
    </row>
    <row r="6" spans="1:4" ht="28.8">
      <c r="A6" s="3" t="s">
        <v>670</v>
      </c>
      <c r="B6" s="3" t="s">
        <v>134</v>
      </c>
      <c r="C6" s="3" t="s">
        <v>424</v>
      </c>
      <c r="D6" s="3" t="s">
        <v>425</v>
      </c>
    </row>
    <row r="7" spans="1:4" ht="28.8">
      <c r="A7" s="3" t="s">
        <v>671</v>
      </c>
      <c r="B7" s="3" t="s">
        <v>246</v>
      </c>
      <c r="C7" s="3" t="s">
        <v>426</v>
      </c>
      <c r="D7" s="10">
        <v>46063</v>
      </c>
    </row>
    <row r="8" spans="1:4" ht="28.8">
      <c r="A8" s="3" t="s">
        <v>672</v>
      </c>
      <c r="B8" s="3" t="s">
        <v>129</v>
      </c>
      <c r="C8" s="3" t="s">
        <v>427</v>
      </c>
      <c r="D8" s="3" t="s">
        <v>428</v>
      </c>
    </row>
    <row r="9" spans="1:4" ht="28.8">
      <c r="A9" s="3" t="s">
        <v>673</v>
      </c>
      <c r="B9" s="3" t="s">
        <v>134</v>
      </c>
      <c r="C9" s="3" t="s">
        <v>429</v>
      </c>
      <c r="D9" s="3" t="s">
        <v>430</v>
      </c>
    </row>
    <row r="10" spans="1:4" ht="28.8">
      <c r="A10" s="3" t="s">
        <v>674</v>
      </c>
      <c r="B10" s="3" t="s">
        <v>138</v>
      </c>
      <c r="C10" s="3" t="s">
        <v>431</v>
      </c>
      <c r="D10" s="3">
        <v>92.5</v>
      </c>
    </row>
    <row r="11" spans="1:4" ht="28.8">
      <c r="A11" s="3" t="s">
        <v>675</v>
      </c>
      <c r="B11" s="3" t="s">
        <v>246</v>
      </c>
      <c r="C11" s="3" t="s">
        <v>432</v>
      </c>
      <c r="D11" s="10">
        <v>46793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F502-F843-40DA-B0A9-8608E6BB262E}">
  <dimension ref="A1:D12"/>
  <sheetViews>
    <sheetView workbookViewId="0">
      <selection activeCell="G1" sqref="G1:G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84</v>
      </c>
      <c r="B2" s="3" t="s">
        <v>126</v>
      </c>
      <c r="C2" s="3" t="s">
        <v>433</v>
      </c>
      <c r="D2" s="3">
        <v>800001</v>
      </c>
    </row>
    <row r="3" spans="1:4" ht="43.2">
      <c r="A3" s="3" t="s">
        <v>71</v>
      </c>
      <c r="B3" s="3" t="s">
        <v>147</v>
      </c>
      <c r="C3" s="3" t="s">
        <v>434</v>
      </c>
      <c r="D3" s="3">
        <v>101</v>
      </c>
    </row>
    <row r="4" spans="1:4" ht="28.8">
      <c r="A4" s="3" t="s">
        <v>85</v>
      </c>
      <c r="B4" s="3" t="s">
        <v>147</v>
      </c>
      <c r="C4" s="3" t="s">
        <v>435</v>
      </c>
      <c r="D4" s="3">
        <v>245</v>
      </c>
    </row>
    <row r="5" spans="1:4" ht="43.2">
      <c r="A5" s="3" t="s">
        <v>637</v>
      </c>
      <c r="B5" s="3" t="s">
        <v>129</v>
      </c>
      <c r="C5" s="3" t="s">
        <v>436</v>
      </c>
      <c r="D5" s="3" t="s">
        <v>437</v>
      </c>
    </row>
    <row r="6" spans="1:4" ht="28.8">
      <c r="A6" s="3" t="s">
        <v>676</v>
      </c>
      <c r="B6" s="3" t="s">
        <v>246</v>
      </c>
      <c r="C6" s="3" t="s">
        <v>438</v>
      </c>
      <c r="D6" s="10">
        <v>46447</v>
      </c>
    </row>
    <row r="7" spans="1:4" ht="28.8">
      <c r="A7" s="3" t="s">
        <v>677</v>
      </c>
      <c r="B7" s="3" t="s">
        <v>126</v>
      </c>
      <c r="C7" s="3" t="s">
        <v>439</v>
      </c>
      <c r="D7" s="3">
        <v>500</v>
      </c>
    </row>
    <row r="8" spans="1:4" ht="28.8">
      <c r="A8" s="3" t="s">
        <v>678</v>
      </c>
      <c r="B8" s="3" t="s">
        <v>126</v>
      </c>
      <c r="C8" s="3" t="s">
        <v>362</v>
      </c>
      <c r="D8" s="3">
        <v>320</v>
      </c>
    </row>
    <row r="9" spans="1:4" ht="43.2">
      <c r="A9" s="3" t="s">
        <v>679</v>
      </c>
      <c r="B9" s="3" t="s">
        <v>126</v>
      </c>
      <c r="C9" s="3" t="s">
        <v>440</v>
      </c>
      <c r="D9" s="3">
        <v>180</v>
      </c>
    </row>
    <row r="10" spans="1:4" ht="43.2">
      <c r="A10" s="3" t="s">
        <v>680</v>
      </c>
      <c r="B10" s="3" t="s">
        <v>126</v>
      </c>
      <c r="C10" s="3" t="s">
        <v>441</v>
      </c>
      <c r="D10" s="3">
        <v>100</v>
      </c>
    </row>
    <row r="11" spans="1:4" ht="28.8">
      <c r="A11" s="3" t="s">
        <v>681</v>
      </c>
      <c r="B11" s="3" t="s">
        <v>134</v>
      </c>
      <c r="C11" s="3" t="s">
        <v>442</v>
      </c>
      <c r="D11" s="3" t="s">
        <v>443</v>
      </c>
    </row>
    <row r="12" spans="1:4" ht="43.2">
      <c r="A12" s="3" t="s">
        <v>682</v>
      </c>
      <c r="B12" s="3" t="s">
        <v>246</v>
      </c>
      <c r="C12" s="3" t="s">
        <v>444</v>
      </c>
      <c r="D12" s="10">
        <v>46112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E43F5-051F-4A6F-8942-5B4EB27B0AC6}">
  <dimension ref="A1:D9"/>
  <sheetViews>
    <sheetView workbookViewId="0">
      <selection activeCell="H1" sqref="H1:H1048576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43.2">
      <c r="A2" s="3" t="s">
        <v>497</v>
      </c>
      <c r="B2" s="3" t="s">
        <v>129</v>
      </c>
      <c r="C2" s="3" t="s">
        <v>508</v>
      </c>
      <c r="D2" s="3" t="s">
        <v>489</v>
      </c>
    </row>
    <row r="3" spans="1:4" ht="28.8">
      <c r="A3" s="3" t="s">
        <v>683</v>
      </c>
      <c r="B3" s="3" t="s">
        <v>129</v>
      </c>
      <c r="C3" s="3" t="s">
        <v>509</v>
      </c>
      <c r="D3" s="3" t="s">
        <v>510</v>
      </c>
    </row>
    <row r="4" spans="1:4" ht="43.2">
      <c r="A4" s="3" t="s">
        <v>684</v>
      </c>
      <c r="B4" s="3" t="s">
        <v>134</v>
      </c>
      <c r="C4" s="3" t="s">
        <v>511</v>
      </c>
      <c r="D4" s="3" t="s">
        <v>512</v>
      </c>
    </row>
    <row r="5" spans="1:4" ht="57.6">
      <c r="A5" s="3" t="s">
        <v>685</v>
      </c>
      <c r="B5" s="3" t="s">
        <v>143</v>
      </c>
      <c r="C5" s="3" t="s">
        <v>513</v>
      </c>
      <c r="D5" s="3" t="b">
        <v>1</v>
      </c>
    </row>
    <row r="6" spans="1:4" ht="43.2">
      <c r="A6" s="3" t="s">
        <v>686</v>
      </c>
      <c r="B6" s="3" t="s">
        <v>143</v>
      </c>
      <c r="C6" s="3" t="s">
        <v>514</v>
      </c>
      <c r="D6" s="3" t="b">
        <v>1</v>
      </c>
    </row>
    <row r="7" spans="1:4" ht="57.6">
      <c r="A7" s="3" t="s">
        <v>687</v>
      </c>
      <c r="B7" s="3" t="s">
        <v>126</v>
      </c>
      <c r="C7" s="3" t="s">
        <v>515</v>
      </c>
      <c r="D7" s="3">
        <v>150</v>
      </c>
    </row>
    <row r="8" spans="1:4" ht="57.6">
      <c r="A8" s="3" t="s">
        <v>549</v>
      </c>
      <c r="B8" s="3" t="s">
        <v>129</v>
      </c>
      <c r="C8" s="3" t="s">
        <v>516</v>
      </c>
      <c r="D8" s="3" t="s">
        <v>517</v>
      </c>
    </row>
    <row r="9" spans="1:4" ht="43.2">
      <c r="A9" s="3" t="s">
        <v>542</v>
      </c>
      <c r="B9" s="3" t="s">
        <v>143</v>
      </c>
      <c r="C9" s="3" t="s">
        <v>518</v>
      </c>
      <c r="D9" s="3" t="b">
        <v>1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55BF-4218-4911-93F9-1AFBE10AF4B3}">
  <dimension ref="A1:D8"/>
  <sheetViews>
    <sheetView workbookViewId="0">
      <selection activeCell="F3" sqref="F3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28.8">
      <c r="A2" s="3" t="s">
        <v>501</v>
      </c>
      <c r="B2" s="3" t="s">
        <v>129</v>
      </c>
      <c r="C2" s="3" t="s">
        <v>519</v>
      </c>
      <c r="D2" s="3" t="s">
        <v>494</v>
      </c>
    </row>
    <row r="3" spans="1:4" ht="43.2">
      <c r="A3" s="3" t="s">
        <v>608</v>
      </c>
      <c r="B3" s="3" t="s">
        <v>129</v>
      </c>
      <c r="C3" s="3" t="s">
        <v>310</v>
      </c>
      <c r="D3" s="3" t="s">
        <v>520</v>
      </c>
    </row>
    <row r="4" spans="1:4" ht="57.6">
      <c r="A4" s="3" t="s">
        <v>548</v>
      </c>
      <c r="B4" s="3" t="s">
        <v>134</v>
      </c>
      <c r="C4" s="3" t="s">
        <v>161</v>
      </c>
      <c r="D4" s="3" t="s">
        <v>521</v>
      </c>
    </row>
    <row r="5" spans="1:4" ht="57.6">
      <c r="A5" s="3" t="s">
        <v>688</v>
      </c>
      <c r="B5" s="3" t="s">
        <v>143</v>
      </c>
      <c r="C5" s="3" t="s">
        <v>522</v>
      </c>
      <c r="D5" s="3" t="b">
        <v>1</v>
      </c>
    </row>
    <row r="6" spans="1:4" ht="43.2">
      <c r="A6" s="3" t="s">
        <v>560</v>
      </c>
      <c r="B6" s="3" t="s">
        <v>126</v>
      </c>
      <c r="C6" s="3" t="s">
        <v>523</v>
      </c>
      <c r="D6" s="3">
        <v>20</v>
      </c>
    </row>
    <row r="7" spans="1:4" ht="57.6">
      <c r="A7" s="3" t="s">
        <v>549</v>
      </c>
      <c r="B7" s="3" t="s">
        <v>129</v>
      </c>
      <c r="C7" s="3" t="s">
        <v>524</v>
      </c>
      <c r="D7" s="3" t="s">
        <v>525</v>
      </c>
    </row>
    <row r="8" spans="1:4" ht="43.2">
      <c r="A8" s="3" t="s">
        <v>542</v>
      </c>
      <c r="B8" s="3" t="s">
        <v>143</v>
      </c>
      <c r="C8" s="3" t="s">
        <v>526</v>
      </c>
      <c r="D8" s="3" t="b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ABAD-BB98-4019-BCB3-577DC2C3E137}">
  <dimension ref="A1:D9"/>
  <sheetViews>
    <sheetView tabSelected="1" workbookViewId="0">
      <selection activeCell="F4" sqref="F4"/>
    </sheetView>
  </sheetViews>
  <sheetFormatPr defaultRowHeight="14.4"/>
  <cols>
    <col min="1" max="1" width="9.44140625" customWidth="1"/>
    <col min="2" max="2" width="11.33203125" customWidth="1"/>
    <col min="3" max="3" width="12.33203125" customWidth="1"/>
    <col min="4" max="4" width="24.5546875" customWidth="1"/>
  </cols>
  <sheetData>
    <row r="1" spans="1:4">
      <c r="A1" s="2" t="s">
        <v>121</v>
      </c>
      <c r="B1" s="2" t="s">
        <v>122</v>
      </c>
      <c r="C1" s="2" t="s">
        <v>123</v>
      </c>
      <c r="D1" s="2" t="s">
        <v>124</v>
      </c>
    </row>
    <row r="2" spans="1:4" ht="28.8">
      <c r="A2" s="3" t="s">
        <v>504</v>
      </c>
      <c r="B2" s="3" t="s">
        <v>129</v>
      </c>
      <c r="C2" s="3" t="s">
        <v>527</v>
      </c>
      <c r="D2" s="3" t="s">
        <v>528</v>
      </c>
    </row>
    <row r="3" spans="1:4" ht="57.6">
      <c r="A3" s="3" t="s">
        <v>689</v>
      </c>
      <c r="B3" s="3" t="s">
        <v>129</v>
      </c>
      <c r="C3" s="3" t="s">
        <v>529</v>
      </c>
      <c r="D3" s="3" t="s">
        <v>530</v>
      </c>
    </row>
    <row r="4" spans="1:4" ht="57.6">
      <c r="A4" s="3" t="s">
        <v>690</v>
      </c>
      <c r="B4" s="3" t="s">
        <v>134</v>
      </c>
      <c r="C4" s="3" t="s">
        <v>531</v>
      </c>
      <c r="D4" s="3" t="s">
        <v>532</v>
      </c>
    </row>
    <row r="5" spans="1:4" ht="72">
      <c r="A5" s="3" t="s">
        <v>691</v>
      </c>
      <c r="B5" s="3" t="s">
        <v>143</v>
      </c>
      <c r="C5" s="3" t="s">
        <v>533</v>
      </c>
      <c r="D5" s="3" t="b">
        <v>1</v>
      </c>
    </row>
    <row r="6" spans="1:4" ht="43.2">
      <c r="A6" s="3" t="s">
        <v>692</v>
      </c>
      <c r="B6" s="3" t="s">
        <v>143</v>
      </c>
      <c r="C6" s="3" t="s">
        <v>534</v>
      </c>
      <c r="D6" s="3" t="b">
        <v>1</v>
      </c>
    </row>
    <row r="7" spans="1:4" ht="57.6">
      <c r="A7" s="3" t="s">
        <v>693</v>
      </c>
      <c r="B7" s="3" t="s">
        <v>143</v>
      </c>
      <c r="C7" s="3" t="s">
        <v>535</v>
      </c>
      <c r="D7" s="3" t="b">
        <v>1</v>
      </c>
    </row>
    <row r="8" spans="1:4" ht="57.6">
      <c r="A8" s="3" t="s">
        <v>694</v>
      </c>
      <c r="B8" s="3" t="s">
        <v>143</v>
      </c>
      <c r="C8" s="3" t="s">
        <v>536</v>
      </c>
      <c r="D8" s="3" t="b">
        <v>1</v>
      </c>
    </row>
    <row r="9" spans="1:4" ht="43.2">
      <c r="A9" s="3" t="s">
        <v>542</v>
      </c>
      <c r="B9" s="3" t="s">
        <v>143</v>
      </c>
      <c r="C9" s="3" t="s">
        <v>537</v>
      </c>
      <c r="D9" s="3" t="b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28</vt:i4>
      </vt:variant>
    </vt:vector>
  </HeadingPairs>
  <TitlesOfParts>
    <vt:vector size="28" baseType="lpstr">
      <vt:lpstr>Datasets</vt:lpstr>
      <vt:lpstr>Governorates</vt:lpstr>
      <vt:lpstr>Districts</vt:lpstr>
      <vt:lpstr>Departments</vt:lpstr>
      <vt:lpstr>Diagnoses</vt:lpstr>
      <vt:lpstr>Procedures</vt:lpstr>
      <vt:lpstr>Laboratory_Tests</vt:lpstr>
      <vt:lpstr>Medicines</vt:lpstr>
      <vt:lpstr>Vaccines</vt:lpstr>
      <vt:lpstr>Complaint_Categories</vt:lpstr>
      <vt:lpstr>Facilities</vt:lpstr>
      <vt:lpstr>Patients</vt:lpstr>
      <vt:lpstr>Staff</vt:lpstr>
      <vt:lpstr>Clinic_Visits</vt:lpstr>
      <vt:lpstr>Visit_Diagnoses</vt:lpstr>
      <vt:lpstr>Visit_Procedures</vt:lpstr>
      <vt:lpstr>Laboratory_Requests</vt:lpstr>
      <vt:lpstr>Pharmacy_Dispensing</vt:lpstr>
      <vt:lpstr>Vaccinations</vt:lpstr>
      <vt:lpstr>Nutrition_Screenings</vt:lpstr>
      <vt:lpstr>Nutrition_Followups</vt:lpstr>
      <vt:lpstr>Referrals</vt:lpstr>
      <vt:lpstr>Complaints</vt:lpstr>
      <vt:lpstr>Training_Records</vt:lpstr>
      <vt:lpstr>Medicine_Inventory</vt:lpstr>
      <vt:lpstr>Facility_Types</vt:lpstr>
      <vt:lpstr>Visit_Types</vt:lpstr>
      <vt:lpstr>Staff_Roles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2026-07-10T19:46:42Z</dcterms:created>
  <dcterms:modified xsi:type="dcterms:W3CDTF">2026-07-18T18:14:08Z</dcterms:modified>
</cp:coreProperties>
</file>